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rlie\Documents\northwestern\classes\25-26\sp26\ee499\"/>
    </mc:Choice>
  </mc:AlternateContent>
  <xr:revisionPtr revIDLastSave="0" documentId="13_ncr:1_{F6A56E4E-818B-4E51-A07C-6E309875171B}" xr6:coauthVersionLast="47" xr6:coauthVersionMax="47" xr10:uidLastSave="{00000000-0000-0000-0000-000000000000}"/>
  <bookViews>
    <workbookView xWindow="-109" yWindow="-109" windowWidth="26301" windowHeight="16058" xr2:uid="{DBA184A9-0314-437C-9CEA-1D2A0A0DBE3D}"/>
  </bookViews>
  <sheets>
    <sheet name="BOM" sheetId="3" r:id="rId1"/>
    <sheet name="Parts Order" sheetId="5" r:id="rId2"/>
    <sheet name="Current Sensing" sheetId="1" r:id="rId3"/>
    <sheet name="OCP PMOS Vgs" sheetId="4" r:id="rId4"/>
    <sheet name="Motor Selection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4" i="3" l="1"/>
  <c r="K25" i="3"/>
  <c r="K26" i="3"/>
  <c r="K27" i="3"/>
  <c r="K37" i="5"/>
  <c r="K36" i="5"/>
  <c r="K35" i="5"/>
  <c r="K34" i="5"/>
  <c r="K33" i="5"/>
  <c r="K32" i="5"/>
  <c r="K31" i="5"/>
  <c r="K30" i="5"/>
  <c r="K29" i="5"/>
  <c r="K28" i="5"/>
  <c r="K27" i="5"/>
  <c r="K26" i="5"/>
  <c r="K25" i="5"/>
  <c r="K24" i="5"/>
  <c r="K23" i="5"/>
  <c r="K22" i="5"/>
  <c r="K21" i="5"/>
  <c r="K20" i="5"/>
  <c r="K19" i="5"/>
  <c r="K18" i="5"/>
  <c r="K17" i="5"/>
  <c r="K16" i="5"/>
  <c r="K15" i="5"/>
  <c r="K14" i="5"/>
  <c r="K13" i="5"/>
  <c r="K12" i="5"/>
  <c r="K11" i="5"/>
  <c r="K10" i="5"/>
  <c r="K9" i="5"/>
  <c r="K8" i="5"/>
  <c r="K7" i="5"/>
  <c r="K40" i="5" s="1"/>
  <c r="K6" i="5"/>
  <c r="K5" i="5"/>
  <c r="K4" i="5"/>
  <c r="K3" i="5"/>
  <c r="K2" i="5"/>
  <c r="K29" i="3"/>
  <c r="K30" i="3"/>
  <c r="K21" i="3"/>
  <c r="K11" i="3"/>
  <c r="K10" i="3"/>
  <c r="K9" i="3"/>
  <c r="K8" i="3"/>
  <c r="K15" i="3"/>
  <c r="K20" i="3"/>
  <c r="K28" i="3"/>
  <c r="K22" i="3"/>
  <c r="K23" i="3"/>
  <c r="K35" i="3"/>
  <c r="K31" i="3"/>
  <c r="K19" i="3"/>
  <c r="K18" i="3"/>
  <c r="K16" i="3"/>
  <c r="K17" i="3"/>
  <c r="K2" i="3"/>
  <c r="D22" i="4"/>
  <c r="D21" i="4"/>
  <c r="C22" i="4"/>
  <c r="C23" i="4"/>
  <c r="D23" i="4" s="1"/>
  <c r="C24" i="4"/>
  <c r="D24" i="4" s="1"/>
  <c r="C25" i="4"/>
  <c r="D25" i="4" s="1"/>
  <c r="C21" i="4"/>
  <c r="E22" i="4"/>
  <c r="F22" i="4"/>
  <c r="E23" i="4"/>
  <c r="F23" i="4"/>
  <c r="E24" i="4"/>
  <c r="F24" i="4"/>
  <c r="E25" i="4"/>
  <c r="F25" i="4"/>
  <c r="F21" i="4"/>
  <c r="E21" i="4"/>
  <c r="B9" i="4"/>
  <c r="B10" i="4"/>
  <c r="B11" i="4"/>
  <c r="B12" i="4"/>
  <c r="B13" i="4"/>
  <c r="B14" i="4"/>
  <c r="B15" i="4"/>
  <c r="B16" i="4"/>
  <c r="B17" i="4"/>
  <c r="B8" i="4"/>
  <c r="C12" i="4"/>
  <c r="C9" i="4"/>
  <c r="C10" i="4"/>
  <c r="C11" i="4"/>
  <c r="C13" i="4"/>
  <c r="C14" i="4"/>
  <c r="C15" i="4"/>
  <c r="C16" i="4"/>
  <c r="C17" i="4"/>
  <c r="C8" i="4"/>
  <c r="K34" i="3"/>
  <c r="K14" i="3"/>
  <c r="K32" i="3"/>
  <c r="K33" i="3"/>
  <c r="K6" i="3"/>
  <c r="K3" i="3"/>
  <c r="K36" i="3"/>
  <c r="K5" i="3"/>
  <c r="K4" i="3"/>
  <c r="K12" i="3"/>
  <c r="K13" i="3"/>
  <c r="K7" i="3"/>
  <c r="B15" i="1"/>
  <c r="B12" i="1"/>
  <c r="B9" i="1"/>
  <c r="B13" i="1" s="1"/>
  <c r="B10" i="1"/>
  <c r="B17" i="1" s="1"/>
  <c r="K39" i="3" l="1"/>
  <c r="B14" i="1"/>
  <c r="B16" i="1"/>
  <c r="B24" i="1" s="1"/>
  <c r="B23" i="1"/>
  <c r="B26" i="1" l="1"/>
  <c r="B28" i="1"/>
  <c r="B25" i="1"/>
  <c r="B27" i="1"/>
</calcChain>
</file>

<file path=xl/sharedStrings.xml><?xml version="1.0" encoding="utf-8"?>
<sst xmlns="http://schemas.openxmlformats.org/spreadsheetml/2006/main" count="621" uniqueCount="287">
  <si>
    <t>Current sensing: INA241</t>
  </si>
  <si>
    <t>Notes</t>
  </si>
  <si>
    <t>Max phase current</t>
  </si>
  <si>
    <t>A, +/-</t>
  </si>
  <si>
    <t>Set</t>
  </si>
  <si>
    <t>Shunt resistor value</t>
  </si>
  <si>
    <t>Variable</t>
  </si>
  <si>
    <t>W</t>
  </si>
  <si>
    <t>Output</t>
  </si>
  <si>
    <t>V</t>
  </si>
  <si>
    <t>INA241 supply V</t>
  </si>
  <si>
    <t>INA241 V reference</t>
  </si>
  <si>
    <t>INA241 gain</t>
  </si>
  <si>
    <t>V/V</t>
  </si>
  <si>
    <t>V, +/-</t>
  </si>
  <si>
    <t>ADC supply V</t>
  </si>
  <si>
    <t>ADC analog input range</t>
  </si>
  <si>
    <t>Mfr</t>
  </si>
  <si>
    <t>Hobbywing</t>
  </si>
  <si>
    <t>Name</t>
  </si>
  <si>
    <t>M4006 Light</t>
  </si>
  <si>
    <t>https://www.hobbywing.com/en/products/m4006ul</t>
  </si>
  <si>
    <t>Link</t>
  </si>
  <si>
    <t>Max current (A)</t>
  </si>
  <si>
    <t>Max power (W)</t>
  </si>
  <si>
    <t>T-Motor</t>
  </si>
  <si>
    <t>U8 Lite L</t>
  </si>
  <si>
    <t>https://uav-en.tmotor.com/2020/u_0930/373.html</t>
  </si>
  <si>
    <t>Rated V (V)</t>
  </si>
  <si>
    <t>Small motor, but $40.</t>
  </si>
  <si>
    <t>Skateboard Motor</t>
  </si>
  <si>
    <t>https://www.hobbywing.com/en/products/orangered-skateboard-motor156</t>
  </si>
  <si>
    <t>https://www.hobbywingdirect.com/products/xrotor-m-6208-motor-ul?pr_prod_strat=e5_desc&amp;pr_rec_id=ab48cc4c4&amp;pr_rec_pid=7634429280371&amp;pr_ref_pid=7635753894003&amp;pr_seq=uniform</t>
  </si>
  <si>
    <t>M6208</t>
  </si>
  <si>
    <t>Doesn't state current, but recommends 60A ESC</t>
  </si>
  <si>
    <t>V5212 275KV</t>
  </si>
  <si>
    <t>https://www.hobbywing.com/en/products/hv5212275kv</t>
  </si>
  <si>
    <t>Damn this might be the one except it is too small. $70</t>
  </si>
  <si>
    <t>V6212 180KV</t>
  </si>
  <si>
    <t>https://www.hobbywing.com/en/products/hv6215210kv</t>
  </si>
  <si>
    <t>https://www.hobbywing.com/en/products/hm6210hp</t>
  </si>
  <si>
    <t>M6210 320 KV</t>
  </si>
  <si>
    <t>Few different KVs for this that might work. Pretty good size, and nicely protected is a plus.</t>
  </si>
  <si>
    <t>Price</t>
  </si>
  <si>
    <t>https://www.hobbywing.com/en/products/m8108</t>
  </si>
  <si>
    <t>M8108 100 KV</t>
  </si>
  <si>
    <t>High protection again. Similar unprotected sold for same price</t>
  </si>
  <si>
    <t>Conclusions</t>
  </si>
  <si>
    <t>*Can get a pretty solid motor, spec-wise, for ~$100</t>
  </si>
  <si>
    <t>*Not sure about quality of Hobbywing's stuff</t>
  </si>
  <si>
    <t>*I like high protection version of Hobbywing's stuff - cleaner overall package, more versatile use</t>
  </si>
  <si>
    <t>*There's no reason not to max out the capability of the GaN chip - 53A. = resize shunt.</t>
  </si>
  <si>
    <t>Set by GaN chip, 2.6mOhm now</t>
  </si>
  <si>
    <t>Shunt resistor power rating</t>
  </si>
  <si>
    <t>Options: 10, 20, 50, 100, 200</t>
  </si>
  <si>
    <t>0V to above</t>
  </si>
  <si>
    <t>Good shunt options</t>
  </si>
  <si>
    <t>* Gain=100: https://www.digikey.com/en/products/detail/isabellenhuette-usa/BVN-Z-R0003-1-0/16733155</t>
  </si>
  <si>
    <t>Shunt tolerance</t>
  </si>
  <si>
    <t>%</t>
  </si>
  <si>
    <t>Shunt resistor min</t>
  </si>
  <si>
    <t>Shunt resistor max</t>
  </si>
  <si>
    <t>mOhm</t>
  </si>
  <si>
    <t>INA241 max output (nom)</t>
  </si>
  <si>
    <t>INA241 min output (nom)</t>
  </si>
  <si>
    <t>Shunt V at max I (nom)</t>
  </si>
  <si>
    <t>Max shunt power (nom)</t>
  </si>
  <si>
    <t>*max</t>
  </si>
  <si>
    <t>*min</t>
  </si>
  <si>
    <t>INA241 output swing (nom)</t>
  </si>
  <si>
    <t>Worst-case calcs here only account for shunt R variation</t>
  </si>
  <si>
    <t>* G=20: 1.5mOhm, but power rating is too small for the one Bourns part that exists on DK</t>
  </si>
  <si>
    <t>&gt;&gt; Tried for a while couldn't make this work. None exist on DK.</t>
  </si>
  <si>
    <t>CURRENT SENSE BOM:</t>
  </si>
  <si>
    <t>*INA2421A4</t>
  </si>
  <si>
    <t>*Shunt: PU2726</t>
  </si>
  <si>
    <t>https://www.digikey.com/en/products/detail/yageo/PU2726FKMPD0U3L/25854094</t>
  </si>
  <si>
    <t>Great, also automotive</t>
  </si>
  <si>
    <t>A4 = G=100. Automotive</t>
  </si>
  <si>
    <t>https://www.digikey.com/en/products/detail/texas-instruments/INA241A4QDRQ1/23331461</t>
  </si>
  <si>
    <t>Mfr PN</t>
  </si>
  <si>
    <t>Supplier</t>
  </si>
  <si>
    <t>Supplier PN</t>
  </si>
  <si>
    <t>Description</t>
  </si>
  <si>
    <t>Index</t>
  </si>
  <si>
    <t>Shunt resistor</t>
  </si>
  <si>
    <t>Purchase link</t>
  </si>
  <si>
    <t>Yageo</t>
  </si>
  <si>
    <t>PU2726FKMPD0U3L</t>
  </si>
  <si>
    <t>DigiKey</t>
  </si>
  <si>
    <t>13-PU2726FKMPD0U3LCT-ND</t>
  </si>
  <si>
    <t>296-INA241A4QDRQ1CT-ND</t>
  </si>
  <si>
    <t>INA241A4QDRQ1</t>
  </si>
  <si>
    <t>Texas Instruments</t>
  </si>
  <si>
    <t>Note</t>
  </si>
  <si>
    <t>Qty needed</t>
  </si>
  <si>
    <t>Total BOM cost (purchase more!)</t>
  </si>
  <si>
    <t>Not even close to a problem. Deciding factor became low gain for using as much ADC range as possible.</t>
  </si>
  <si>
    <t>https://www.digikey.com/en/products/detail/texas-instruments/LMG2100R026VBNR/25811484?s=N4IgTCBcDaIDIFkDiYCMAGdAldYBsIAugL5A</t>
  </si>
  <si>
    <t>296-LMG2100R026VBNRCT-ND</t>
  </si>
  <si>
    <t>LMG2100R026VBNR</t>
  </si>
  <si>
    <t>GaN half bridge</t>
  </si>
  <si>
    <t>Total:</t>
  </si>
  <si>
    <t>Capacitor 2.2uF 100V 1206</t>
  </si>
  <si>
    <t>https://www.digikey.com/en/products/detail/w%C3%BCrth-elektronik/885012208124/24721846</t>
  </si>
  <si>
    <t>Würth Elektronik</t>
  </si>
  <si>
    <t>885012208124</t>
  </si>
  <si>
    <t>732-885012208124CT-ND</t>
  </si>
  <si>
    <t>Inverter</t>
  </si>
  <si>
    <t>Buffer</t>
  </si>
  <si>
    <t>3.6V LDO</t>
  </si>
  <si>
    <t>TLV70036DDCR</t>
  </si>
  <si>
    <t>296-40611-1-ND</t>
  </si>
  <si>
    <t>https://www.digikey.com/en/products/detail/texas-instruments/TLV70036DDCR/3727089</t>
  </si>
  <si>
    <t>5V LDO</t>
  </si>
  <si>
    <t>Microchip</t>
  </si>
  <si>
    <t>MCP1792T-5002H/CBVAO</t>
  </si>
  <si>
    <t>150-MCP1792T-5002H/CBVAOCT-ND</t>
  </si>
  <si>
    <t>https://www.digikey.com/en/products/detail/microchip-technology/MCP1792T-5002H-CBVAO/11481629</t>
  </si>
  <si>
    <t>https://www.digikey.com/en/products/detail/samsung-electro-mechanics/CL10A225KO8NNNC/3886698</t>
  </si>
  <si>
    <t>Capacitor 2.2uF 16V 0603</t>
  </si>
  <si>
    <t>Samsung Electro-Mechanics</t>
  </si>
  <si>
    <t>CL10A225KO8NNNC</t>
  </si>
  <si>
    <t>1276-1040-1-ND</t>
  </si>
  <si>
    <t>Capacitor 0.1uF 16V 0402</t>
  </si>
  <si>
    <t>https://www.digikey.com/en/products/detail/murata-electronics/GCM155R71C104KA55J/2591252</t>
  </si>
  <si>
    <t>Murata</t>
  </si>
  <si>
    <t>GCM155R71C104KA55J</t>
  </si>
  <si>
    <t>490-7998-1-ND</t>
  </si>
  <si>
    <t>Capacitor 1uF 16V 0402</t>
  </si>
  <si>
    <t>CL05A105KO5NNNC</t>
  </si>
  <si>
    <t>1276-1067-1-ND</t>
  </si>
  <si>
    <t>https://www.digikey.com/en/products/detail/samsung-electro-mechanics/CL05A105KO5NNNC/3886725</t>
  </si>
  <si>
    <t>Zener 1.8V</t>
  </si>
  <si>
    <t>onsemi</t>
  </si>
  <si>
    <t>SZMMSZ4678T1G</t>
  </si>
  <si>
    <t>SZMMSZ4678T1GOSCT-ND</t>
  </si>
  <si>
    <t>https://www.digikey.com/en/products/detail/onsemi/SZMMSZ4678T1G/3063308?s=N4IgTCBcDaIMoC0CyTEBYBsB2AHAFQEYBxEAXQF8g</t>
  </si>
  <si>
    <t>SN74LVC1G14DBVT</t>
  </si>
  <si>
    <t>SN74AUP1G14DBVT</t>
  </si>
  <si>
    <t>296-41492-1-ND</t>
  </si>
  <si>
    <t>296-26597-1-ND</t>
  </si>
  <si>
    <t>https://www.digikey.com/en/products/detail/texas-instruments/SN74LVC1G14DBVT/1592006</t>
  </si>
  <si>
    <t>https://www.digikey.com/en/products/detail/texas-instruments/SN74AUP1G14DBVT/1569036</t>
  </si>
  <si>
    <t>More expensive than the smaller chip (DRLR suffix), but will be easier to solder. Worth it for prototype 1.</t>
  </si>
  <si>
    <t>^</t>
  </si>
  <si>
    <t>OK EXCEPT UNKNOWN WHERE TO BUY… Okay this actually might be the one. 68mm dia is workable, and I like the protected part.</t>
  </si>
  <si>
    <t>https://www.digikey.com/en/products/detail/nichicon/UUX2A100MNL1GS/2550555</t>
  </si>
  <si>
    <t>R14 value (ohm)</t>
  </si>
  <si>
    <t>Supply voltage</t>
  </si>
  <si>
    <t>Leakage (A)</t>
  </si>
  <si>
    <t>NMOS max I</t>
  </si>
  <si>
    <t>A</t>
  </si>
  <si>
    <t>nF</t>
  </si>
  <si>
    <t>RC (us)</t>
  </si>
  <si>
    <t>* I think I like this. NMOS should be fine carrying this leakage, and response time is 20x faster.</t>
  </si>
  <si>
    <t>Final choice</t>
  </si>
  <si>
    <t>R14</t>
  </si>
  <si>
    <t>R16</t>
  </si>
  <si>
    <t>Vdiv ratio</t>
  </si>
  <si>
    <t>Vgs</t>
  </si>
  <si>
    <t>PMOS Vth</t>
  </si>
  <si>
    <t>PMOS Cgs</t>
  </si>
  <si>
    <t>* This table assumes R14=R16, which is not the case - just a rough look at RC and leakage.</t>
  </si>
  <si>
    <t>max</t>
  </si>
  <si>
    <t>* Final choice. Solidly on, solidly fast, won't stress PMOS too much (only 60% of max Vgs), leakage not a problem.</t>
  </si>
  <si>
    <t>Refs</t>
  </si>
  <si>
    <t>J1, J2, J3, J4</t>
  </si>
  <si>
    <t>8p connectors</t>
  </si>
  <si>
    <t>Molex</t>
  </si>
  <si>
    <t>0022272081</t>
  </si>
  <si>
    <t>WM4117-ND</t>
  </si>
  <si>
    <t>https://www.digikey.com/en/products/detail/molex/0022272081/WM4117-ND/1130583</t>
  </si>
  <si>
    <t>Resistor 0R</t>
  </si>
  <si>
    <t>U1</t>
  </si>
  <si>
    <t>U3</t>
  </si>
  <si>
    <t>U2</t>
  </si>
  <si>
    <t>U4</t>
  </si>
  <si>
    <t>U9</t>
  </si>
  <si>
    <t>Current sense amp G=100</t>
  </si>
  <si>
    <t>Current sense amp G=50</t>
  </si>
  <si>
    <t>LED red</t>
  </si>
  <si>
    <t>LED blue</t>
  </si>
  <si>
    <t>LED green</t>
  </si>
  <si>
    <t>LED yellow</t>
  </si>
  <si>
    <t>D2</t>
  </si>
  <si>
    <t>D1</t>
  </si>
  <si>
    <t>D6</t>
  </si>
  <si>
    <t>D7</t>
  </si>
  <si>
    <t>C4, C5, C6</t>
  </si>
  <si>
    <t>Capacitor 2.2uF 100V 0805</t>
  </si>
  <si>
    <t>https://www.digikey.com/en/products/detail/murata-electronics/GRM21BD72A225ME01K/15972575</t>
  </si>
  <si>
    <t>C1</t>
  </si>
  <si>
    <t>C8</t>
  </si>
  <si>
    <t>R24, R3</t>
  </si>
  <si>
    <t>Resistor 1k</t>
  </si>
  <si>
    <t>Zener 3.0V</t>
  </si>
  <si>
    <t>SZBZX84C3V0ET1G</t>
  </si>
  <si>
    <t>488-SZBZX84C3V0ET1GCT-ND</t>
  </si>
  <si>
    <t>https://www.digikey.com/en/products/detail/onsemi/SZBZX84C3V0ET1G/3536775</t>
  </si>
  <si>
    <t>D4</t>
  </si>
  <si>
    <t>C2, C3, C7, C9, C10, C15, C13, C16, C17</t>
  </si>
  <si>
    <t>U5</t>
  </si>
  <si>
    <t>Comparator</t>
  </si>
  <si>
    <t>Rohm</t>
  </si>
  <si>
    <t>BU7253F-E2</t>
  </si>
  <si>
    <t>BU7253F-E2CT-ND</t>
  </si>
  <si>
    <t>https://www.digikey.com/en/products/detail/rohm-semiconductor/BU7253F-E2/5721133?s=N4IgTCBcDaIEIFUDsYCsBmAYgWgKIQF0BfIA</t>
  </si>
  <si>
    <t>NMOS 180mA</t>
  </si>
  <si>
    <t>Diodes Inc.</t>
  </si>
  <si>
    <t>2N7002A-7</t>
  </si>
  <si>
    <t>2N7002A-7DICT-ND</t>
  </si>
  <si>
    <t>https://www.digikey.com/en/products/detail/diodes-incorporated/2N7002A-7/3451498</t>
  </si>
  <si>
    <t>IC1</t>
  </si>
  <si>
    <t>Q1</t>
  </si>
  <si>
    <t>PMOS 93A</t>
  </si>
  <si>
    <t>Vishay Siliconix</t>
  </si>
  <si>
    <t>SQM100P10-19L_GE3</t>
  </si>
  <si>
    <t>SQM100P10-19L_GE3CT-ND</t>
  </si>
  <si>
    <t>https://www.digikey.com/en/products/detail/vishay-siliconix/SQM100P10-19L-GE3/7566797</t>
  </si>
  <si>
    <t>U6</t>
  </si>
  <si>
    <t>https://www.digikey.com/en/products/detail/texas-instruments/INA241A3IDR/22106764</t>
  </si>
  <si>
    <t>INA241A3IDR</t>
  </si>
  <si>
    <t>296-INA241A3IDRCT-ND</t>
  </si>
  <si>
    <t>R1, R8</t>
  </si>
  <si>
    <t>D3, D5</t>
  </si>
  <si>
    <t>Capacitor 10uF 100V alum</t>
  </si>
  <si>
    <t>Nichicon</t>
  </si>
  <si>
    <t>UUX2A100MNL1GS</t>
  </si>
  <si>
    <t>493-6279-1-ND</t>
  </si>
  <si>
    <t>Not going to buy. Instead, use the 0805 I found for the half bridges. Will fit on 1206 pad</t>
  </si>
  <si>
    <t>U8</t>
  </si>
  <si>
    <t>9 for phases, 1 for 5vreg</t>
  </si>
  <si>
    <t>3 for phases, 1 on output of 5Vreg</t>
  </si>
  <si>
    <t>9 for phases, 6 on DC</t>
  </si>
  <si>
    <t>3 for phases, 3 on DC</t>
  </si>
  <si>
    <t>Murata Electronics</t>
  </si>
  <si>
    <t>GRM21BD72A225ME01K</t>
  </si>
  <si>
    <t>490-GRM21BD72A225ME01KCT-ND</t>
  </si>
  <si>
    <t>2 for each phase</t>
  </si>
  <si>
    <t>3 for phases (LI cxn), 1 for OCP, 1 for shield cxn</t>
  </si>
  <si>
    <t>Resistor 10k LOW %</t>
  </si>
  <si>
    <t>Resistor 130k LOW %</t>
  </si>
  <si>
    <t>3 for phases, 3 for DC</t>
  </si>
  <si>
    <t>3 for phases, 4 for DC</t>
  </si>
  <si>
    <t>Resistor 520k</t>
  </si>
  <si>
    <t>1 for each Vsense, 1 for OCP 0V6 ref</t>
  </si>
  <si>
    <t>Resistor 90k</t>
  </si>
  <si>
    <t>Resistor 400k</t>
  </si>
  <si>
    <t>OCP</t>
  </si>
  <si>
    <t>Resistor 330R</t>
  </si>
  <si>
    <t>Harvatek Corporation</t>
  </si>
  <si>
    <t>B1911NG--20D000214U1930</t>
  </si>
  <si>
    <t>3147-B1911NG--20D000214U1930CT-ND</t>
  </si>
  <si>
    <t>https://www.digikey.com/en/products/detail/harvatek-corporation/B1911NG-20D000214U1930/15519989</t>
  </si>
  <si>
    <t>B1911UY--20D000114U1930</t>
  </si>
  <si>
    <t>3147-B1911UY--20D000114U1930CT-ND</t>
  </si>
  <si>
    <t>https://www.digikey.com/en/products/detail/harvatek-corporation/B1911UY-20D000114U1930/15519976</t>
  </si>
  <si>
    <t>150060BS55040</t>
  </si>
  <si>
    <t>732-12013-1-ND</t>
  </si>
  <si>
    <t>https://www.digikey.com/en/products/detail/w%C3%BCrth-elektronik/150060BS55040/8557178</t>
  </si>
  <si>
    <t>150060SS55040</t>
  </si>
  <si>
    <t>732-12016-1-ND</t>
  </si>
  <si>
    <t>https://www.digikey.com/en/products/detail/w%C3%BCrth-elektronik/150060SS55040/8557181</t>
  </si>
  <si>
    <t>https://www.digikey.com/en/products/detail/yageo/RT0603BRD0710KL/1072198</t>
  </si>
  <si>
    <t>https://www.digikey.com/en/products/detail/yageo/RT0603BRD07130KL/1072234</t>
  </si>
  <si>
    <t>https://www.digikey.com/en/products/detail/yageo/RT0603BRD071KL/1072344</t>
  </si>
  <si>
    <t>Resistor 200R</t>
  </si>
  <si>
    <t>Resistor 100R</t>
  </si>
  <si>
    <t>https://www.digikey.com/en/products/detail/yageo/RC0603FR-07100RL/726888</t>
  </si>
  <si>
    <t>https://www.digikey.com/en/products/detail/yageo/RC0603FR-07200RL/727043</t>
  </si>
  <si>
    <t>https://www.digikey.com/en/products/detail/yageo/RC0603FR-07330RL/727162</t>
  </si>
  <si>
    <t>https://www.digikey.com/en/products/detail/yageo/RC0603JR-070RL/726675</t>
  </si>
  <si>
    <t>LEDs</t>
  </si>
  <si>
    <t>311-0.0GRCT-ND</t>
  </si>
  <si>
    <t>YAG1236CT-ND</t>
  </si>
  <si>
    <t>YAG1237CT-ND</t>
  </si>
  <si>
    <t>YAG1521CT-ND</t>
  </si>
  <si>
    <t>311-100HRCT-ND</t>
  </si>
  <si>
    <t>311-200HRCT-ND</t>
  </si>
  <si>
    <t>311-330HRCT-ND</t>
  </si>
  <si>
    <t>Qty buying</t>
  </si>
  <si>
    <t>Mouser</t>
  </si>
  <si>
    <t xml:space="preserve">603-PU2726FKMPD0U3 </t>
  </si>
  <si>
    <t>https://www.mouser.com/ProductDetail/YAGEO/PU2726FKMPD0U3L?qs=7%2F6SraaimPRYRt0Kdp%252B1ag%3D%3D</t>
  </si>
  <si>
    <t xml:space="preserve">Only 2 available to ship immediately from DK :( </t>
  </si>
  <si>
    <t>^ The rest from Mouser :)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</si>
</sst>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44" formatCode="_(&quot;$&quot;* #,##0.00_);_(&quot;$&quot;* \(#,##0.00\);_(&quot;$&quot;* &quot;-&quot;??_);_(@_)"/>
    <numFmt numFmtId="164" formatCode="0.0000"/>
    <numFmt numFmtId="165" formatCode="0.0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27">
    <xf numFmtId="0" fontId="0" fillId="0" borderId="0" xfId="0"/>
    <xf numFmtId="11" fontId="0" fillId="0" borderId="0" xfId="0" applyNumberFormat="1"/>
    <xf numFmtId="0" fontId="3" fillId="0" borderId="0" xfId="2"/>
    <xf numFmtId="0" fontId="0" fillId="2" borderId="0" xfId="0" applyFill="1"/>
    <xf numFmtId="0" fontId="2" fillId="0" borderId="0" xfId="0" applyFont="1"/>
    <xf numFmtId="6" fontId="0" fillId="0" borderId="0" xfId="0" applyNumberFormat="1"/>
    <xf numFmtId="164" fontId="0" fillId="0" borderId="0" xfId="0" applyNumberFormat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3" fillId="3" borderId="0" xfId="2" applyFill="1" applyBorder="1"/>
    <xf numFmtId="0" fontId="0" fillId="3" borderId="0" xfId="0" applyFill="1"/>
    <xf numFmtId="0" fontId="0" fillId="3" borderId="5" xfId="0" applyFill="1" applyBorder="1"/>
    <xf numFmtId="0" fontId="0" fillId="3" borderId="6" xfId="0" applyFill="1" applyBorder="1"/>
    <xf numFmtId="0" fontId="3" fillId="3" borderId="7" xfId="2" applyFill="1" applyBorder="1"/>
    <xf numFmtId="0" fontId="0" fillId="3" borderId="7" xfId="0" applyFill="1" applyBorder="1"/>
    <xf numFmtId="0" fontId="0" fillId="3" borderId="8" xfId="0" applyFill="1" applyBorder="1"/>
    <xf numFmtId="44" fontId="0" fillId="0" borderId="0" xfId="1" applyFont="1"/>
    <xf numFmtId="0" fontId="0" fillId="4" borderId="0" xfId="0" applyFill="1"/>
    <xf numFmtId="49" fontId="0" fillId="4" borderId="0" xfId="0" applyNumberFormat="1" applyFill="1"/>
    <xf numFmtId="49" fontId="0" fillId="0" borderId="0" xfId="0" applyNumberFormat="1"/>
    <xf numFmtId="2" fontId="0" fillId="0" borderId="0" xfId="0" applyNumberFormat="1"/>
    <xf numFmtId="2" fontId="0" fillId="3" borderId="0" xfId="0" applyNumberFormat="1" applyFill="1"/>
    <xf numFmtId="165" fontId="0" fillId="0" borderId="0" xfId="0" applyNumberFormat="1"/>
    <xf numFmtId="165" fontId="0" fillId="3" borderId="0" xfId="0" applyNumberFormat="1" applyFill="1"/>
    <xf numFmtId="0" fontId="0" fillId="0" borderId="0" xfId="0" applyFill="1"/>
  </cellXfs>
  <cellStyles count="3">
    <cellStyle name="Currency" xfId="1" builtinId="4"/>
    <cellStyle name="Hyperlink" xfId="2" builtinId="8"/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ustomXml" Target="../ink/ink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517584</xdr:colOff>
      <xdr:row>26</xdr:row>
      <xdr:rowOff>24647</xdr:rowOff>
    </xdr:from>
    <xdr:to>
      <xdr:col>5</xdr:col>
      <xdr:colOff>320410</xdr:colOff>
      <xdr:row>43</xdr:row>
      <xdr:rowOff>95836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3C83D848-673C-9312-6ADC-662C74135E83}"/>
            </a:ext>
          </a:extLst>
        </xdr:cNvPr>
        <xdr:cNvGrpSpPr/>
      </xdr:nvGrpSpPr>
      <xdr:grpSpPr>
        <a:xfrm>
          <a:off x="517584" y="4848019"/>
          <a:ext cx="3624421" cy="3224932"/>
          <a:chOff x="517584" y="4705415"/>
          <a:chExt cx="3613451" cy="3131691"/>
        </a:xfrm>
      </xdr:grpSpPr>
      <xdr:pic>
        <xdr:nvPicPr>
          <xdr:cNvPr id="5" name="Picture 4">
            <a:extLst>
              <a:ext uri="{FF2B5EF4-FFF2-40B4-BE49-F238E27FC236}">
                <a16:creationId xmlns:a16="http://schemas.microsoft.com/office/drawing/2014/main" id="{65591EBC-C1EC-15B2-1B9F-1F783EC65C5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517584" y="4705415"/>
            <a:ext cx="3613451" cy="3131691"/>
          </a:xfrm>
          <a:prstGeom prst="rect">
            <a:avLst/>
          </a:prstGeom>
          <a:ln>
            <a:solidFill>
              <a:schemeClr val="accent1"/>
            </a:solidFill>
          </a:ln>
        </xdr:spPr>
      </xdr:pic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2">
            <xdr14:nvContentPartPr>
              <xdr14:cNvPr id="7" name="Ink 6">
                <a:extLst>
                  <a:ext uri="{FF2B5EF4-FFF2-40B4-BE49-F238E27FC236}">
                    <a16:creationId xmlns:a16="http://schemas.microsoft.com/office/drawing/2014/main" id="{D14C279D-0A87-1594-CBA4-56FA958F1230}"/>
                  </a:ext>
                </a:extLst>
              </xdr14:cNvPr>
              <xdr14:cNvContentPartPr/>
            </xdr14:nvContentPartPr>
            <xdr14:nvPr macro=""/>
            <xdr14:xfrm>
              <a:off x="1759480" y="4853442"/>
              <a:ext cx="829945" cy="1881592"/>
            </xdr14:xfrm>
          </xdr14:contentPart>
        </mc:Choice>
        <mc:Fallback xmlns="">
          <xdr:pic>
            <xdr:nvPicPr>
              <xdr:cNvPr id="7" name="Ink 6">
                <a:extLst>
                  <a:ext uri="{FF2B5EF4-FFF2-40B4-BE49-F238E27FC236}">
                    <a16:creationId xmlns:a16="http://schemas.microsoft.com/office/drawing/2014/main" id="{D14C279D-0A87-1594-CBA4-56FA958F1230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3"/>
              <a:stretch>
                <a:fillRect/>
              </a:stretch>
            </xdr:blipFill>
            <xdr:spPr>
              <a:xfrm>
                <a:off x="1753362" y="4847321"/>
                <a:ext cx="842182" cy="1893834"/>
              </a:xfrm>
              <a:prstGeom prst="rect">
                <a:avLst/>
              </a:prstGeom>
            </xdr:spPr>
          </xdr:pic>
        </mc:Fallback>
      </mc:AlternateContent>
    </xdr:grpSp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07:11:27.747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2312 2691 24495,'-1'106'0,"-1"-1"0,-3 0 0,-1 0 0,-2-1 0,-2-1 0,-1-1 0,-2 0 0,-2-2 0,-1-2 0,-3-2 0,0-1 0,-3-1 0,-2-4 0,0 0 0,-2-4 0,-1-1 0,-2-4 0,-1-1 0,-1-4 0,-2-3 0,-1-3 0,-1-3 0,-1-3 0,-2-4 0,0-3 0,-1-3 0,-1-5 0,-1-3 0,0-3 0,-1-4 0,-1-5 0,-1-3 0,0-5 0,0-3 0,-1-4 0,0-5 0,0-4 0,0-3 0,0-5 0,-2-4 0,2-5 0,0-3 0,0-4 0,1-5 0,0-4 0,0-3 0,-1-5 0,3-3 0,0-5 0,0-4 0,1-3 0,1-3 0,1-5 0,1-3 0,0-3 0,2-4 0,1-3 0,1-3 0,2-3 0,0-3 0,2-4 0,1-1 0,2-4 0,1-1 0,2-4 0,0 0 0,3-4 0,1-1 0,2-1 0,1-2 0,2-2 0,2-2 0,2 0 0,1-1 0,2-1 0,2-1 0,2 0 0,1 0 0,2-1 0,2 1 0,2-1 0,1 1 0,2 1 0,2 0 0,2 0 0,1 2 0,2 1 0,2 1 0,2 1 0,1 2 0,2 2 0,1 3 0,3 0 0,0 4 0,2 1 0,1 3 0,2 1 0,1 5 0,2 2 0,0 3 0,2 3 0,1 2 0,1 5 0,2 2 0,0 4 0,1 4 0,1 2 0,1 6 0,1 2 0,0 5 0,0 3 0,3 5 0,-1 3 0,0 4 0,0 5 0,1 4 0,0 3 0,0 5 0,2 4 0,-2 4 0,0 4 0,0 5 0,0 3 0,0 4 0,-1 5 0,0 4 0,0 3 0,-1 5 0,-1 3 0,-1 5 0,0 2 0,-1 6 0,-1 2 0,-1 4 0,0 4 0,-2 2 0,-1 5 0,-1 2 0,-1 3 0,-2 3 0,-1 2 0,-1 5 0,-2 1 0,-1 3 0,-2 1 0,0 4 0,-2 0 0,-3 3 0,0 2 0,-3 2 0,-1 1 0,-2 1 0,-2 1 0,-1 2 0,-2 0 0,-2 0 0,-1 1 0,-3 1 0,-1-1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en/products/detail/murata-electronics/GCM155R71C104KA55J/2591252" TargetMode="External"/><Relationship Id="rId13" Type="http://schemas.openxmlformats.org/officeDocument/2006/relationships/hyperlink" Target="https://www.digikey.com/en/products/detail/murata-electronics/GRM21BD72A225ME01K/15972575" TargetMode="External"/><Relationship Id="rId18" Type="http://schemas.openxmlformats.org/officeDocument/2006/relationships/hyperlink" Target="https://www.digikey.com/en/products/detail/harvatek-corporation/B1911UY-20D000114U1930/15519976" TargetMode="External"/><Relationship Id="rId26" Type="http://schemas.openxmlformats.org/officeDocument/2006/relationships/hyperlink" Target="https://www.digikey.com/en/products/detail/yageo/RC0603FR-07100RL/726888" TargetMode="External"/><Relationship Id="rId3" Type="http://schemas.openxmlformats.org/officeDocument/2006/relationships/hyperlink" Target="https://www.digikey.com/en/products/detail/texas-instruments/LMG2100R026VBNR/25811484?s=N4IgTCBcDaIDIFkDiYCMAGdAldYBsIAugL5A" TargetMode="External"/><Relationship Id="rId21" Type="http://schemas.openxmlformats.org/officeDocument/2006/relationships/hyperlink" Target="https://www.digikey.com/en/products/detail/yageo/RC0603JR-070RL/726675" TargetMode="External"/><Relationship Id="rId7" Type="http://schemas.openxmlformats.org/officeDocument/2006/relationships/hyperlink" Target="https://www.digikey.com/en/products/detail/samsung-electro-mechanics/CL10A225KO8NNNC/3886698" TargetMode="External"/><Relationship Id="rId12" Type="http://schemas.openxmlformats.org/officeDocument/2006/relationships/hyperlink" Target="https://www.digikey.com/en/products/detail/texas-instruments/SN74AUP1G14DBVT/1569036" TargetMode="External"/><Relationship Id="rId17" Type="http://schemas.openxmlformats.org/officeDocument/2006/relationships/hyperlink" Target="https://www.digikey.com/en/products/detail/texas-instruments/INA241A3IDR/22106764" TargetMode="External"/><Relationship Id="rId25" Type="http://schemas.openxmlformats.org/officeDocument/2006/relationships/hyperlink" Target="https://www.digikey.com/en/products/detail/yageo/RT0603BRD07130KL/1072234" TargetMode="External"/><Relationship Id="rId2" Type="http://schemas.openxmlformats.org/officeDocument/2006/relationships/hyperlink" Target="https://www.digikey.com/en/products/detail/texas-instruments/INA241A4QDRQ1/23331461" TargetMode="External"/><Relationship Id="rId16" Type="http://schemas.openxmlformats.org/officeDocument/2006/relationships/hyperlink" Target="https://www.digikey.com/en/products/detail/vishay-siliconix/SQM100P10-19L-GE3/7566797" TargetMode="External"/><Relationship Id="rId20" Type="http://schemas.openxmlformats.org/officeDocument/2006/relationships/hyperlink" Target="https://www.digikey.com/en/products/detail/w%C3%BCrth-elektronik/150060BS55040/8557178" TargetMode="External"/><Relationship Id="rId1" Type="http://schemas.openxmlformats.org/officeDocument/2006/relationships/hyperlink" Target="https://www.digikey.com/en/products/detail/yageo/PU2726FKMPD0U3L/25854094" TargetMode="External"/><Relationship Id="rId6" Type="http://schemas.openxmlformats.org/officeDocument/2006/relationships/hyperlink" Target="https://www.digikey.com/en/products/detail/microchip-technology/MCP1792T-5002H-CBVAO/11481629" TargetMode="External"/><Relationship Id="rId11" Type="http://schemas.openxmlformats.org/officeDocument/2006/relationships/hyperlink" Target="https://www.digikey.com/en/products/detail/molex/0022272081/WM4117-ND/1130583" TargetMode="External"/><Relationship Id="rId24" Type="http://schemas.openxmlformats.org/officeDocument/2006/relationships/hyperlink" Target="https://www.digikey.com/en/products/detail/yageo/RT0603BRD071KL/1072344" TargetMode="External"/><Relationship Id="rId5" Type="http://schemas.openxmlformats.org/officeDocument/2006/relationships/hyperlink" Target="https://www.digikey.com/en/products/detail/texas-instruments/TLV70036DDCR/3727089" TargetMode="External"/><Relationship Id="rId15" Type="http://schemas.openxmlformats.org/officeDocument/2006/relationships/hyperlink" Target="https://www.digikey.com/en/products/detail/diodes-incorporated/2N7002A-7/3451498" TargetMode="External"/><Relationship Id="rId23" Type="http://schemas.openxmlformats.org/officeDocument/2006/relationships/hyperlink" Target="https://www.digikey.com/en/products/detail/yageo/RT0603BRD0710KL/1072198" TargetMode="External"/><Relationship Id="rId28" Type="http://schemas.openxmlformats.org/officeDocument/2006/relationships/hyperlink" Target="https://www.digikey.com/en/products/detail/yageo/RC0603FR-07330RL/727162" TargetMode="External"/><Relationship Id="rId10" Type="http://schemas.openxmlformats.org/officeDocument/2006/relationships/hyperlink" Target="https://www.digikey.com/en/products/detail/onsemi/SZMMSZ4678T1G/3063308?s=N4IgTCBcDaIMoC0CyTEBYBsB2AHAFQEYBxEAXQF8g" TargetMode="External"/><Relationship Id="rId19" Type="http://schemas.openxmlformats.org/officeDocument/2006/relationships/hyperlink" Target="https://www.digikey.com/en/products/detail/harvatek-corporation/B1911NG-20D000214U1930/15519989" TargetMode="External"/><Relationship Id="rId4" Type="http://schemas.openxmlformats.org/officeDocument/2006/relationships/hyperlink" Target="https://www.digikey.com/en/products/detail/w%C3%BCrth-elektronik/885012208124/24721846" TargetMode="External"/><Relationship Id="rId9" Type="http://schemas.openxmlformats.org/officeDocument/2006/relationships/hyperlink" Target="https://www.digikey.com/en/products/detail/samsung-electro-mechanics/CL05A105KO5NNNC/3886725" TargetMode="External"/><Relationship Id="rId14" Type="http://schemas.openxmlformats.org/officeDocument/2006/relationships/hyperlink" Target="https://www.digikey.com/en/products/detail/rohm-semiconductor/BU7253F-E2/5721133?s=N4IgTCBcDaIEIFUDsYCsBmAYgWgKIQF0BfIA" TargetMode="External"/><Relationship Id="rId22" Type="http://schemas.openxmlformats.org/officeDocument/2006/relationships/hyperlink" Target="https://www.digikey.com/en/products/detail/w%C3%BCrth-elektronik/150060SS55040/8557181" TargetMode="External"/><Relationship Id="rId27" Type="http://schemas.openxmlformats.org/officeDocument/2006/relationships/hyperlink" Target="https://www.digikey.com/en/products/detail/yageo/RC0603FR-07200RL/727043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en/products/detail/murata-electronics/GCM155R71C104KA55J/2591252" TargetMode="External"/><Relationship Id="rId13" Type="http://schemas.openxmlformats.org/officeDocument/2006/relationships/hyperlink" Target="https://www.digikey.com/en/products/detail/murata-electronics/GRM21BD72A225ME01K/15972575" TargetMode="External"/><Relationship Id="rId18" Type="http://schemas.openxmlformats.org/officeDocument/2006/relationships/hyperlink" Target="https://www.digikey.com/en/products/detail/harvatek-corporation/B1911UY-20D000114U1930/15519976" TargetMode="External"/><Relationship Id="rId26" Type="http://schemas.openxmlformats.org/officeDocument/2006/relationships/hyperlink" Target="https://www.digikey.com/en/products/detail/yageo/RC0603FR-07100RL/726888" TargetMode="External"/><Relationship Id="rId3" Type="http://schemas.openxmlformats.org/officeDocument/2006/relationships/hyperlink" Target="https://www.digikey.com/en/products/detail/texas-instruments/LMG2100R026VBNR/25811484?s=N4IgTCBcDaIDIFkDiYCMAGdAldYBsIAugL5A" TargetMode="External"/><Relationship Id="rId21" Type="http://schemas.openxmlformats.org/officeDocument/2006/relationships/hyperlink" Target="https://www.digikey.com/en/products/detail/yageo/RC0603JR-070RL/726675" TargetMode="External"/><Relationship Id="rId7" Type="http://schemas.openxmlformats.org/officeDocument/2006/relationships/hyperlink" Target="https://www.digikey.com/en/products/detail/samsung-electro-mechanics/CL10A225KO8NNNC/3886698" TargetMode="External"/><Relationship Id="rId12" Type="http://schemas.openxmlformats.org/officeDocument/2006/relationships/hyperlink" Target="https://www.digikey.com/en/products/detail/texas-instruments/SN74AUP1G14DBVT/1569036" TargetMode="External"/><Relationship Id="rId17" Type="http://schemas.openxmlformats.org/officeDocument/2006/relationships/hyperlink" Target="https://www.digikey.com/en/products/detail/texas-instruments/INA241A3IDR/22106764" TargetMode="External"/><Relationship Id="rId25" Type="http://schemas.openxmlformats.org/officeDocument/2006/relationships/hyperlink" Target="https://www.digikey.com/en/products/detail/yageo/RT0603BRD07130KL/1072234" TargetMode="External"/><Relationship Id="rId2" Type="http://schemas.openxmlformats.org/officeDocument/2006/relationships/hyperlink" Target="https://www.digikey.com/en/products/detail/texas-instruments/INA241A4QDRQ1/23331461" TargetMode="External"/><Relationship Id="rId16" Type="http://schemas.openxmlformats.org/officeDocument/2006/relationships/hyperlink" Target="https://www.digikey.com/en/products/detail/vishay-siliconix/SQM100P10-19L-GE3/7566797" TargetMode="External"/><Relationship Id="rId20" Type="http://schemas.openxmlformats.org/officeDocument/2006/relationships/hyperlink" Target="https://www.digikey.com/en/products/detail/w%C3%BCrth-elektronik/150060BS55040/8557178" TargetMode="External"/><Relationship Id="rId1" Type="http://schemas.openxmlformats.org/officeDocument/2006/relationships/hyperlink" Target="https://www.digikey.com/en/products/detail/yageo/PU2726FKMPD0U3L/25854094" TargetMode="External"/><Relationship Id="rId6" Type="http://schemas.openxmlformats.org/officeDocument/2006/relationships/hyperlink" Target="https://www.digikey.com/en/products/detail/microchip-technology/MCP1792T-5002H-CBVAO/11481629" TargetMode="External"/><Relationship Id="rId11" Type="http://schemas.openxmlformats.org/officeDocument/2006/relationships/hyperlink" Target="https://www.digikey.com/en/products/detail/molex/0022272081/WM4117-ND/1130583" TargetMode="External"/><Relationship Id="rId24" Type="http://schemas.openxmlformats.org/officeDocument/2006/relationships/hyperlink" Target="https://www.digikey.com/en/products/detail/yageo/RT0603BRD071KL/1072344" TargetMode="External"/><Relationship Id="rId5" Type="http://schemas.openxmlformats.org/officeDocument/2006/relationships/hyperlink" Target="https://www.digikey.com/en/products/detail/texas-instruments/TLV70036DDCR/3727089" TargetMode="External"/><Relationship Id="rId15" Type="http://schemas.openxmlformats.org/officeDocument/2006/relationships/hyperlink" Target="https://www.digikey.com/en/products/detail/diodes-incorporated/2N7002A-7/3451498" TargetMode="External"/><Relationship Id="rId23" Type="http://schemas.openxmlformats.org/officeDocument/2006/relationships/hyperlink" Target="https://www.digikey.com/en/products/detail/yageo/RT0603BRD0710KL/1072198" TargetMode="External"/><Relationship Id="rId28" Type="http://schemas.openxmlformats.org/officeDocument/2006/relationships/hyperlink" Target="https://www.digikey.com/en/products/detail/yageo/RC0603FR-07330RL/727162" TargetMode="External"/><Relationship Id="rId10" Type="http://schemas.openxmlformats.org/officeDocument/2006/relationships/hyperlink" Target="https://www.digikey.com/en/products/detail/onsemi/SZMMSZ4678T1G/3063308?s=N4IgTCBcDaIMoC0CyTEBYBsB2AHAFQEYBxEAXQF8g" TargetMode="External"/><Relationship Id="rId19" Type="http://schemas.openxmlformats.org/officeDocument/2006/relationships/hyperlink" Target="https://www.digikey.com/en/products/detail/harvatek-corporation/B1911NG-20D000214U1930/15519989" TargetMode="External"/><Relationship Id="rId4" Type="http://schemas.openxmlformats.org/officeDocument/2006/relationships/hyperlink" Target="https://www.digikey.com/en/products/detail/w%C3%BCrth-elektronik/885012208124/24721846" TargetMode="External"/><Relationship Id="rId9" Type="http://schemas.openxmlformats.org/officeDocument/2006/relationships/hyperlink" Target="https://www.digikey.com/en/products/detail/samsung-electro-mechanics/CL05A105KO5NNNC/3886725" TargetMode="External"/><Relationship Id="rId14" Type="http://schemas.openxmlformats.org/officeDocument/2006/relationships/hyperlink" Target="https://www.digikey.com/en/products/detail/rohm-semiconductor/BU7253F-E2/5721133?s=N4IgTCBcDaIEIFUDsYCsBmAYgWgKIQF0BfIA" TargetMode="External"/><Relationship Id="rId22" Type="http://schemas.openxmlformats.org/officeDocument/2006/relationships/hyperlink" Target="https://www.digikey.com/en/products/detail/w%C3%BCrth-elektronik/150060SS55040/8557181" TargetMode="External"/><Relationship Id="rId27" Type="http://schemas.openxmlformats.org/officeDocument/2006/relationships/hyperlink" Target="https://www.digikey.com/en/products/detail/yageo/RC0603FR-07200RL/727043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digikey.com/en/products/detail/texas-instruments/INA241A4QDRQ1/23331461" TargetMode="External"/><Relationship Id="rId1" Type="http://schemas.openxmlformats.org/officeDocument/2006/relationships/hyperlink" Target="https://www.digikey.com/en/products/detail/yageo/PU2726FKMPD0U3L/25854094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hobbywing.com/en/products/hv5212275kv" TargetMode="External"/><Relationship Id="rId3" Type="http://schemas.openxmlformats.org/officeDocument/2006/relationships/hyperlink" Target="https://www.hobbywing.com/en/products/orangered-skateboard-motor156" TargetMode="External"/><Relationship Id="rId7" Type="http://schemas.openxmlformats.org/officeDocument/2006/relationships/hyperlink" Target="https://www.hobbywing.com/en/products/m8108" TargetMode="External"/><Relationship Id="rId2" Type="http://schemas.openxmlformats.org/officeDocument/2006/relationships/hyperlink" Target="https://uav-en.tmotor.com/2020/u_0930/373.html" TargetMode="External"/><Relationship Id="rId1" Type="http://schemas.openxmlformats.org/officeDocument/2006/relationships/hyperlink" Target="https://www.hobbywing.com/en/products/m4006ul" TargetMode="External"/><Relationship Id="rId6" Type="http://schemas.openxmlformats.org/officeDocument/2006/relationships/hyperlink" Target="https://www.hobbywing.com/en/products/hm6210hp" TargetMode="External"/><Relationship Id="rId5" Type="http://schemas.openxmlformats.org/officeDocument/2006/relationships/hyperlink" Target="https://www.hobbywing.com/en/products/hv6215210kv" TargetMode="External"/><Relationship Id="rId4" Type="http://schemas.openxmlformats.org/officeDocument/2006/relationships/hyperlink" Target="https://www.hobbywingdirect.com/products/xrotor-m-6208-motor-ul?pr_prod_strat=e5_desc&amp;pr_rec_id=ab48cc4c4&amp;pr_rec_pid=7634429280371&amp;pr_ref_pid=7635753894003&amp;pr_seq=uniform" TargetMode="External"/><Relationship Id="rId9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F0C06-55D3-4099-B532-4CC12B79958A}">
  <dimension ref="A1:L39"/>
  <sheetViews>
    <sheetView tabSelected="1" zoomScale="85" zoomScaleNormal="85" workbookViewId="0">
      <pane ySplit="1" topLeftCell="A2" activePane="bottomLeft" state="frozen"/>
      <selection pane="bottomLeft" activeCell="O48" sqref="O48"/>
    </sheetView>
  </sheetViews>
  <sheetFormatPr defaultRowHeight="14.3" x14ac:dyDescent="0.25"/>
  <cols>
    <col min="1" max="1" width="6" customWidth="1"/>
    <col min="2" max="2" width="15.75" hidden="1" customWidth="1"/>
    <col min="3" max="3" width="24.25" customWidth="1"/>
    <col min="4" max="4" width="17.375" customWidth="1"/>
    <col min="5" max="5" width="21.625" style="21" customWidth="1"/>
    <col min="7" max="7" width="11.375" customWidth="1"/>
    <col min="8" max="8" width="12" customWidth="1"/>
    <col min="9" max="9" width="9" style="18"/>
    <col min="10" max="10" width="11" customWidth="1"/>
    <col min="11" max="11" width="13.125" style="18" customWidth="1"/>
    <col min="12" max="12" width="0" hidden="1" customWidth="1"/>
  </cols>
  <sheetData>
    <row r="1" spans="1:12" s="19" customFormat="1" x14ac:dyDescent="0.25">
      <c r="A1" s="19" t="s">
        <v>84</v>
      </c>
      <c r="B1" s="19" t="s">
        <v>166</v>
      </c>
      <c r="C1" s="19" t="s">
        <v>83</v>
      </c>
      <c r="D1" s="19" t="s">
        <v>17</v>
      </c>
      <c r="E1" s="20" t="s">
        <v>80</v>
      </c>
      <c r="F1" s="19" t="s">
        <v>81</v>
      </c>
      <c r="G1" s="19" t="s">
        <v>82</v>
      </c>
      <c r="H1" s="19" t="s">
        <v>86</v>
      </c>
      <c r="I1" s="19" t="s">
        <v>43</v>
      </c>
      <c r="J1" s="19" t="s">
        <v>95</v>
      </c>
      <c r="K1" s="19" t="s">
        <v>96</v>
      </c>
      <c r="L1" s="19" t="s">
        <v>94</v>
      </c>
    </row>
    <row r="2" spans="1:12" x14ac:dyDescent="0.25">
      <c r="B2" t="s">
        <v>167</v>
      </c>
      <c r="C2" t="s">
        <v>168</v>
      </c>
      <c r="D2" t="s">
        <v>169</v>
      </c>
      <c r="E2" s="21" t="s">
        <v>170</v>
      </c>
      <c r="F2" t="s">
        <v>89</v>
      </c>
      <c r="G2" t="s">
        <v>171</v>
      </c>
      <c r="H2" s="2" t="s">
        <v>172</v>
      </c>
      <c r="I2" s="18">
        <v>1.7</v>
      </c>
      <c r="J2">
        <v>4</v>
      </c>
      <c r="K2" s="18">
        <f t="shared" ref="K2" si="0">I2*J2</f>
        <v>6.8</v>
      </c>
    </row>
    <row r="3" spans="1:12" x14ac:dyDescent="0.25">
      <c r="B3" t="s">
        <v>174</v>
      </c>
      <c r="C3" t="s">
        <v>101</v>
      </c>
      <c r="D3" t="s">
        <v>93</v>
      </c>
      <c r="E3" s="21" t="s">
        <v>100</v>
      </c>
      <c r="F3" t="s">
        <v>89</v>
      </c>
      <c r="G3" t="s">
        <v>99</v>
      </c>
      <c r="H3" s="2" t="s">
        <v>98</v>
      </c>
      <c r="I3" s="18">
        <v>12.15</v>
      </c>
      <c r="J3">
        <v>3</v>
      </c>
      <c r="K3" s="18">
        <f t="shared" ref="K3:K14" si="1">I3*J3</f>
        <v>36.450000000000003</v>
      </c>
    </row>
    <row r="4" spans="1:12" x14ac:dyDescent="0.25">
      <c r="B4" t="s">
        <v>176</v>
      </c>
      <c r="C4" t="s">
        <v>109</v>
      </c>
      <c r="D4" t="s">
        <v>93</v>
      </c>
      <c r="E4" s="21" t="s">
        <v>139</v>
      </c>
      <c r="F4" t="s">
        <v>89</v>
      </c>
      <c r="G4" t="s">
        <v>140</v>
      </c>
      <c r="H4" s="2" t="s">
        <v>143</v>
      </c>
      <c r="I4" s="18">
        <v>0.92</v>
      </c>
      <c r="J4">
        <v>3</v>
      </c>
      <c r="K4" s="18">
        <f t="shared" si="1"/>
        <v>2.7600000000000002</v>
      </c>
      <c r="L4" t="s">
        <v>145</v>
      </c>
    </row>
    <row r="5" spans="1:12" x14ac:dyDescent="0.25">
      <c r="B5" t="s">
        <v>175</v>
      </c>
      <c r="C5" t="s">
        <v>108</v>
      </c>
      <c r="D5" t="s">
        <v>93</v>
      </c>
      <c r="E5" s="21" t="s">
        <v>138</v>
      </c>
      <c r="F5" t="s">
        <v>89</v>
      </c>
      <c r="G5" t="s">
        <v>141</v>
      </c>
      <c r="H5" s="2" t="s">
        <v>142</v>
      </c>
      <c r="I5" s="18">
        <v>0.83</v>
      </c>
      <c r="J5">
        <v>3</v>
      </c>
      <c r="K5" s="18">
        <f t="shared" si="1"/>
        <v>2.4899999999999998</v>
      </c>
      <c r="L5" t="s">
        <v>144</v>
      </c>
    </row>
    <row r="6" spans="1:12" x14ac:dyDescent="0.25">
      <c r="B6" t="s">
        <v>177</v>
      </c>
      <c r="C6" t="s">
        <v>179</v>
      </c>
      <c r="D6" t="s">
        <v>93</v>
      </c>
      <c r="E6" s="21" t="s">
        <v>92</v>
      </c>
      <c r="F6" t="s">
        <v>89</v>
      </c>
      <c r="G6" t="s">
        <v>91</v>
      </c>
      <c r="H6" s="2" t="s">
        <v>79</v>
      </c>
      <c r="I6" s="18">
        <v>3.89</v>
      </c>
      <c r="J6">
        <v>3</v>
      </c>
      <c r="K6" s="18">
        <f t="shared" si="1"/>
        <v>11.67</v>
      </c>
    </row>
    <row r="7" spans="1:12" x14ac:dyDescent="0.25">
      <c r="B7" t="s">
        <v>224</v>
      </c>
      <c r="C7" t="s">
        <v>85</v>
      </c>
      <c r="D7" t="s">
        <v>87</v>
      </c>
      <c r="E7" s="21" t="s">
        <v>88</v>
      </c>
      <c r="F7" t="s">
        <v>89</v>
      </c>
      <c r="G7" t="s">
        <v>90</v>
      </c>
      <c r="H7" s="2" t="s">
        <v>76</v>
      </c>
      <c r="I7" s="18">
        <v>1.7</v>
      </c>
      <c r="J7">
        <v>4</v>
      </c>
      <c r="K7" s="18">
        <f t="shared" si="1"/>
        <v>6.8</v>
      </c>
    </row>
    <row r="8" spans="1:12" x14ac:dyDescent="0.25">
      <c r="B8" t="s">
        <v>202</v>
      </c>
      <c r="C8" t="s">
        <v>203</v>
      </c>
      <c r="D8" t="s">
        <v>204</v>
      </c>
      <c r="E8" s="21" t="s">
        <v>205</v>
      </c>
      <c r="F8" t="s">
        <v>89</v>
      </c>
      <c r="G8" t="s">
        <v>206</v>
      </c>
      <c r="H8" s="2" t="s">
        <v>207</v>
      </c>
      <c r="I8" s="18">
        <v>0.74</v>
      </c>
      <c r="J8">
        <v>1</v>
      </c>
      <c r="K8" s="18">
        <f t="shared" si="1"/>
        <v>0.74</v>
      </c>
    </row>
    <row r="9" spans="1:12" x14ac:dyDescent="0.25">
      <c r="B9" t="s">
        <v>213</v>
      </c>
      <c r="C9" t="s">
        <v>208</v>
      </c>
      <c r="D9" t="s">
        <v>209</v>
      </c>
      <c r="E9" s="21" t="s">
        <v>210</v>
      </c>
      <c r="F9" t="s">
        <v>89</v>
      </c>
      <c r="G9" t="s">
        <v>211</v>
      </c>
      <c r="H9" s="2" t="s">
        <v>212</v>
      </c>
      <c r="I9" s="18">
        <v>0.21</v>
      </c>
      <c r="J9">
        <v>1</v>
      </c>
      <c r="K9" s="18">
        <f t="shared" si="1"/>
        <v>0.21</v>
      </c>
    </row>
    <row r="10" spans="1:12" x14ac:dyDescent="0.25">
      <c r="B10" t="s">
        <v>214</v>
      </c>
      <c r="C10" t="s">
        <v>215</v>
      </c>
      <c r="D10" t="s">
        <v>216</v>
      </c>
      <c r="E10" s="21" t="s">
        <v>217</v>
      </c>
      <c r="F10" t="s">
        <v>89</v>
      </c>
      <c r="G10" t="s">
        <v>218</v>
      </c>
      <c r="H10" s="2" t="s">
        <v>219</v>
      </c>
      <c r="I10" s="18">
        <v>4.71</v>
      </c>
      <c r="J10">
        <v>1</v>
      </c>
      <c r="K10" s="18">
        <f t="shared" si="1"/>
        <v>4.71</v>
      </c>
    </row>
    <row r="11" spans="1:12" x14ac:dyDescent="0.25">
      <c r="B11" t="s">
        <v>220</v>
      </c>
      <c r="C11" t="s">
        <v>180</v>
      </c>
      <c r="D11" t="s">
        <v>93</v>
      </c>
      <c r="E11" s="21" t="s">
        <v>222</v>
      </c>
      <c r="F11" t="s">
        <v>89</v>
      </c>
      <c r="G11" t="s">
        <v>223</v>
      </c>
      <c r="H11" s="2" t="s">
        <v>221</v>
      </c>
      <c r="I11" s="18">
        <v>3.45</v>
      </c>
      <c r="J11">
        <v>1</v>
      </c>
      <c r="K11" s="18">
        <f t="shared" si="1"/>
        <v>3.45</v>
      </c>
    </row>
    <row r="12" spans="1:12" x14ac:dyDescent="0.25">
      <c r="B12" t="s">
        <v>231</v>
      </c>
      <c r="C12" t="s">
        <v>110</v>
      </c>
      <c r="D12" t="s">
        <v>93</v>
      </c>
      <c r="E12" s="21" t="s">
        <v>111</v>
      </c>
      <c r="F12" t="s">
        <v>89</v>
      </c>
      <c r="G12" t="s">
        <v>112</v>
      </c>
      <c r="H12" s="2" t="s">
        <v>113</v>
      </c>
      <c r="I12" s="18">
        <v>0.23</v>
      </c>
      <c r="J12">
        <v>1</v>
      </c>
      <c r="K12" s="18">
        <f t="shared" si="1"/>
        <v>0.23</v>
      </c>
    </row>
    <row r="13" spans="1:12" x14ac:dyDescent="0.25">
      <c r="B13" t="s">
        <v>178</v>
      </c>
      <c r="C13" t="s">
        <v>114</v>
      </c>
      <c r="D13" t="s">
        <v>115</v>
      </c>
      <c r="E13" s="21" t="s">
        <v>116</v>
      </c>
      <c r="F13" t="s">
        <v>89</v>
      </c>
      <c r="G13" t="s">
        <v>117</v>
      </c>
      <c r="H13" s="2" t="s">
        <v>118</v>
      </c>
      <c r="I13" s="18">
        <v>0.91</v>
      </c>
      <c r="J13">
        <v>1</v>
      </c>
      <c r="K13" s="18">
        <f t="shared" si="1"/>
        <v>0.91</v>
      </c>
    </row>
    <row r="14" spans="1:12" x14ac:dyDescent="0.25">
      <c r="B14" t="s">
        <v>225</v>
      </c>
      <c r="C14" t="s">
        <v>133</v>
      </c>
      <c r="D14" t="s">
        <v>134</v>
      </c>
      <c r="E14" s="21" t="s">
        <v>135</v>
      </c>
      <c r="F14" t="s">
        <v>89</v>
      </c>
      <c r="G14" t="s">
        <v>136</v>
      </c>
      <c r="H14" s="2" t="s">
        <v>137</v>
      </c>
      <c r="I14" s="18">
        <v>0.11</v>
      </c>
      <c r="J14">
        <v>4</v>
      </c>
      <c r="K14" s="18">
        <f t="shared" si="1"/>
        <v>0.44</v>
      </c>
    </row>
    <row r="15" spans="1:12" x14ac:dyDescent="0.25">
      <c r="B15" t="s">
        <v>200</v>
      </c>
      <c r="C15" t="s">
        <v>196</v>
      </c>
      <c r="D15" t="s">
        <v>134</v>
      </c>
      <c r="E15" s="21" t="s">
        <v>197</v>
      </c>
      <c r="F15" t="s">
        <v>89</v>
      </c>
      <c r="G15" t="s">
        <v>198</v>
      </c>
      <c r="H15" s="2" t="s">
        <v>199</v>
      </c>
      <c r="I15" s="18">
        <v>0.22</v>
      </c>
      <c r="J15">
        <v>1</v>
      </c>
      <c r="K15" s="18">
        <f t="shared" ref="K15:K35" si="2">I15*J15</f>
        <v>0.22</v>
      </c>
    </row>
    <row r="16" spans="1:12" x14ac:dyDescent="0.25">
      <c r="B16" t="s">
        <v>187</v>
      </c>
      <c r="C16" t="s">
        <v>183</v>
      </c>
      <c r="D16" t="s">
        <v>251</v>
      </c>
      <c r="E16" s="21" t="s">
        <v>252</v>
      </c>
      <c r="F16" t="s">
        <v>89</v>
      </c>
      <c r="G16" t="s">
        <v>253</v>
      </c>
      <c r="H16" s="2" t="s">
        <v>254</v>
      </c>
      <c r="I16" s="18">
        <v>0.21</v>
      </c>
      <c r="J16">
        <v>1</v>
      </c>
      <c r="K16" s="18">
        <f>I16*J16</f>
        <v>0.21</v>
      </c>
    </row>
    <row r="17" spans="2:12" x14ac:dyDescent="0.25">
      <c r="B17" t="s">
        <v>188</v>
      </c>
      <c r="C17" t="s">
        <v>184</v>
      </c>
      <c r="D17" t="s">
        <v>251</v>
      </c>
      <c r="E17" s="21" t="s">
        <v>255</v>
      </c>
      <c r="F17" t="s">
        <v>89</v>
      </c>
      <c r="G17" t="s">
        <v>256</v>
      </c>
      <c r="H17" s="2" t="s">
        <v>257</v>
      </c>
      <c r="I17" s="18">
        <v>0.22</v>
      </c>
      <c r="J17">
        <v>1</v>
      </c>
      <c r="K17" s="18">
        <f>I17*J17</f>
        <v>0.22</v>
      </c>
    </row>
    <row r="18" spans="2:12" x14ac:dyDescent="0.25">
      <c r="B18" t="s">
        <v>186</v>
      </c>
      <c r="C18" t="s">
        <v>182</v>
      </c>
      <c r="D18" t="s">
        <v>105</v>
      </c>
      <c r="E18" s="21" t="s">
        <v>258</v>
      </c>
      <c r="F18" t="s">
        <v>89</v>
      </c>
      <c r="G18" t="s">
        <v>259</v>
      </c>
      <c r="H18" s="2" t="s">
        <v>260</v>
      </c>
      <c r="I18" s="18">
        <v>0.19</v>
      </c>
      <c r="J18">
        <v>3</v>
      </c>
      <c r="K18" s="18">
        <f>I18*J18</f>
        <v>0.57000000000000006</v>
      </c>
    </row>
    <row r="19" spans="2:12" x14ac:dyDescent="0.25">
      <c r="B19" t="s">
        <v>185</v>
      </c>
      <c r="C19" t="s">
        <v>181</v>
      </c>
      <c r="D19" t="s">
        <v>105</v>
      </c>
      <c r="E19" s="21" t="s">
        <v>261</v>
      </c>
      <c r="F19" t="s">
        <v>89</v>
      </c>
      <c r="G19" t="s">
        <v>262</v>
      </c>
      <c r="H19" s="2" t="s">
        <v>263</v>
      </c>
      <c r="I19" s="18">
        <v>0.19</v>
      </c>
      <c r="J19">
        <v>3</v>
      </c>
      <c r="K19" s="18">
        <f>I19*J19</f>
        <v>0.57000000000000006</v>
      </c>
    </row>
    <row r="20" spans="2:12" x14ac:dyDescent="0.25">
      <c r="B20" t="s">
        <v>194</v>
      </c>
      <c r="C20" t="s">
        <v>173</v>
      </c>
      <c r="D20" t="s">
        <v>87</v>
      </c>
      <c r="F20" t="s">
        <v>89</v>
      </c>
      <c r="G20" t="s">
        <v>274</v>
      </c>
      <c r="H20" s="2" t="s">
        <v>272</v>
      </c>
      <c r="I20" s="18">
        <v>0.1</v>
      </c>
      <c r="J20">
        <v>5</v>
      </c>
      <c r="K20" s="18">
        <f t="shared" si="2"/>
        <v>0.5</v>
      </c>
      <c r="L20" t="s">
        <v>240</v>
      </c>
    </row>
    <row r="21" spans="2:12" x14ac:dyDescent="0.25">
      <c r="C21" s="26" t="s">
        <v>241</v>
      </c>
      <c r="D21" t="s">
        <v>87</v>
      </c>
      <c r="F21" t="s">
        <v>89</v>
      </c>
      <c r="G21" t="s">
        <v>275</v>
      </c>
      <c r="H21" s="2" t="s">
        <v>264</v>
      </c>
      <c r="I21" s="18">
        <v>0.1</v>
      </c>
      <c r="J21">
        <v>6</v>
      </c>
      <c r="K21" s="18">
        <f>I21*J21</f>
        <v>0.60000000000000009</v>
      </c>
      <c r="L21" t="s">
        <v>243</v>
      </c>
    </row>
    <row r="22" spans="2:12" x14ac:dyDescent="0.25">
      <c r="C22" s="26" t="s">
        <v>242</v>
      </c>
      <c r="D22" t="s">
        <v>87</v>
      </c>
      <c r="F22" t="s">
        <v>89</v>
      </c>
      <c r="G22" t="s">
        <v>277</v>
      </c>
      <c r="H22" s="2" t="s">
        <v>265</v>
      </c>
      <c r="I22" s="18">
        <v>0.1</v>
      </c>
      <c r="J22">
        <v>5</v>
      </c>
      <c r="K22" s="18">
        <f t="shared" si="2"/>
        <v>0.5</v>
      </c>
      <c r="L22" t="s">
        <v>246</v>
      </c>
    </row>
    <row r="23" spans="2:12" x14ac:dyDescent="0.25">
      <c r="C23" s="26" t="s">
        <v>195</v>
      </c>
      <c r="D23" t="s">
        <v>87</v>
      </c>
      <c r="F23" t="s">
        <v>89</v>
      </c>
      <c r="G23" t="s">
        <v>276</v>
      </c>
      <c r="H23" s="2" t="s">
        <v>266</v>
      </c>
      <c r="I23" s="18">
        <v>0.1</v>
      </c>
      <c r="J23">
        <v>7</v>
      </c>
      <c r="K23" s="18">
        <f t="shared" si="2"/>
        <v>0.70000000000000007</v>
      </c>
      <c r="L23" t="s">
        <v>244</v>
      </c>
    </row>
    <row r="24" spans="2:12" hidden="1" x14ac:dyDescent="0.25">
      <c r="C24" s="26" t="s">
        <v>245</v>
      </c>
      <c r="H24" s="2"/>
      <c r="J24">
        <v>1</v>
      </c>
      <c r="K24" s="18">
        <f t="shared" si="2"/>
        <v>0</v>
      </c>
      <c r="L24" t="s">
        <v>249</v>
      </c>
    </row>
    <row r="25" spans="2:12" hidden="1" x14ac:dyDescent="0.25">
      <c r="C25" s="26" t="s">
        <v>247</v>
      </c>
      <c r="H25" s="2"/>
      <c r="J25">
        <v>1</v>
      </c>
      <c r="K25" s="18">
        <f t="shared" si="2"/>
        <v>0</v>
      </c>
      <c r="L25" t="s">
        <v>249</v>
      </c>
    </row>
    <row r="26" spans="2:12" hidden="1" x14ac:dyDescent="0.25">
      <c r="C26" s="26" t="s">
        <v>248</v>
      </c>
      <c r="H26" s="2"/>
      <c r="J26">
        <v>1</v>
      </c>
      <c r="K26" s="18">
        <f t="shared" si="2"/>
        <v>0</v>
      </c>
      <c r="L26" t="s">
        <v>249</v>
      </c>
    </row>
    <row r="27" spans="2:12" hidden="1" x14ac:dyDescent="0.25">
      <c r="C27" s="26" t="s">
        <v>250</v>
      </c>
      <c r="H27" s="2"/>
      <c r="J27">
        <v>1</v>
      </c>
      <c r="K27" s="18">
        <f t="shared" si="2"/>
        <v>0</v>
      </c>
      <c r="L27" t="s">
        <v>249</v>
      </c>
    </row>
    <row r="28" spans="2:12" x14ac:dyDescent="0.25">
      <c r="C28" s="26" t="s">
        <v>268</v>
      </c>
      <c r="D28" t="s">
        <v>87</v>
      </c>
      <c r="F28" t="s">
        <v>89</v>
      </c>
      <c r="G28" t="s">
        <v>278</v>
      </c>
      <c r="H28" s="2" t="s">
        <v>269</v>
      </c>
      <c r="I28" s="18">
        <v>0.1</v>
      </c>
      <c r="J28">
        <v>1</v>
      </c>
      <c r="K28" s="18">
        <f>I28*J21</f>
        <v>0.60000000000000009</v>
      </c>
      <c r="L28" t="s">
        <v>273</v>
      </c>
    </row>
    <row r="29" spans="2:12" x14ac:dyDescent="0.25">
      <c r="C29" s="26" t="s">
        <v>267</v>
      </c>
      <c r="D29" t="s">
        <v>87</v>
      </c>
      <c r="F29" t="s">
        <v>89</v>
      </c>
      <c r="G29" t="s">
        <v>279</v>
      </c>
      <c r="H29" s="2" t="s">
        <v>270</v>
      </c>
      <c r="I29" s="18">
        <v>0.1</v>
      </c>
      <c r="J29">
        <v>3</v>
      </c>
      <c r="K29" s="18">
        <f>I29*J22</f>
        <v>0.5</v>
      </c>
      <c r="L29" t="s">
        <v>273</v>
      </c>
    </row>
    <row r="30" spans="2:12" x14ac:dyDescent="0.25">
      <c r="C30" s="26" t="s">
        <v>250</v>
      </c>
      <c r="D30" t="s">
        <v>87</v>
      </c>
      <c r="F30" t="s">
        <v>89</v>
      </c>
      <c r="G30" t="s">
        <v>280</v>
      </c>
      <c r="H30" s="2" t="s">
        <v>271</v>
      </c>
      <c r="I30" s="18">
        <v>0.1</v>
      </c>
      <c r="J30">
        <v>4</v>
      </c>
      <c r="K30" s="18">
        <f>I30*J23</f>
        <v>0.70000000000000007</v>
      </c>
      <c r="L30" t="s">
        <v>273</v>
      </c>
    </row>
    <row r="31" spans="2:12" x14ac:dyDescent="0.25">
      <c r="B31" t="s">
        <v>189</v>
      </c>
      <c r="C31" s="26" t="s">
        <v>190</v>
      </c>
      <c r="D31" t="s">
        <v>236</v>
      </c>
      <c r="E31" s="21" t="s">
        <v>237</v>
      </c>
      <c r="F31" t="s">
        <v>89</v>
      </c>
      <c r="G31" t="s">
        <v>238</v>
      </c>
      <c r="H31" s="2" t="s">
        <v>191</v>
      </c>
      <c r="I31" s="18">
        <v>0.26900000000000002</v>
      </c>
      <c r="J31">
        <v>10</v>
      </c>
      <c r="K31" s="18">
        <f>I31*J31</f>
        <v>2.6900000000000004</v>
      </c>
      <c r="L31" t="s">
        <v>232</v>
      </c>
    </row>
    <row r="32" spans="2:12" x14ac:dyDescent="0.25">
      <c r="B32" t="s">
        <v>192</v>
      </c>
      <c r="C32" s="26" t="s">
        <v>120</v>
      </c>
      <c r="D32" t="s">
        <v>121</v>
      </c>
      <c r="E32" s="21" t="s">
        <v>122</v>
      </c>
      <c r="F32" t="s">
        <v>89</v>
      </c>
      <c r="G32" t="s">
        <v>123</v>
      </c>
      <c r="H32" s="2" t="s">
        <v>119</v>
      </c>
      <c r="I32" s="18">
        <v>0.1</v>
      </c>
      <c r="J32">
        <v>4</v>
      </c>
      <c r="K32" s="18">
        <f>I32*J32</f>
        <v>0.4</v>
      </c>
      <c r="L32" t="s">
        <v>233</v>
      </c>
    </row>
    <row r="33" spans="2:12" x14ac:dyDescent="0.25">
      <c r="B33" t="s">
        <v>201</v>
      </c>
      <c r="C33" s="26" t="s">
        <v>124</v>
      </c>
      <c r="D33" t="s">
        <v>126</v>
      </c>
      <c r="E33" s="21" t="s">
        <v>127</v>
      </c>
      <c r="F33" t="s">
        <v>89</v>
      </c>
      <c r="G33" t="s">
        <v>128</v>
      </c>
      <c r="H33" s="2" t="s">
        <v>125</v>
      </c>
      <c r="I33" s="18">
        <v>2.9000000000000001E-2</v>
      </c>
      <c r="J33">
        <v>15</v>
      </c>
      <c r="K33" s="18">
        <f>I33*J33</f>
        <v>0.435</v>
      </c>
      <c r="L33" t="s">
        <v>234</v>
      </c>
    </row>
    <row r="34" spans="2:12" x14ac:dyDescent="0.25">
      <c r="B34" t="s">
        <v>193</v>
      </c>
      <c r="C34" s="26" t="s">
        <v>129</v>
      </c>
      <c r="D34" t="s">
        <v>121</v>
      </c>
      <c r="E34" s="21" t="s">
        <v>130</v>
      </c>
      <c r="F34" t="s">
        <v>89</v>
      </c>
      <c r="G34" t="s">
        <v>131</v>
      </c>
      <c r="H34" s="2" t="s">
        <v>132</v>
      </c>
      <c r="I34" s="18">
        <v>0.1</v>
      </c>
      <c r="J34">
        <v>6</v>
      </c>
      <c r="K34" s="18">
        <f>I34*J34</f>
        <v>0.60000000000000009</v>
      </c>
      <c r="L34" t="s">
        <v>235</v>
      </c>
    </row>
    <row r="35" spans="2:12" x14ac:dyDescent="0.25">
      <c r="C35" s="26" t="s">
        <v>226</v>
      </c>
      <c r="D35" t="s">
        <v>227</v>
      </c>
      <c r="E35" s="21" t="s">
        <v>228</v>
      </c>
      <c r="F35" t="s">
        <v>89</v>
      </c>
      <c r="G35" t="s">
        <v>229</v>
      </c>
      <c r="H35" s="2" t="s">
        <v>147</v>
      </c>
      <c r="I35" s="18">
        <v>0.56999999999999995</v>
      </c>
      <c r="J35">
        <v>6</v>
      </c>
      <c r="K35" s="18">
        <f t="shared" si="2"/>
        <v>3.42</v>
      </c>
      <c r="L35" t="s">
        <v>239</v>
      </c>
    </row>
    <row r="36" spans="2:12" hidden="1" x14ac:dyDescent="0.25">
      <c r="C36" s="26" t="s">
        <v>103</v>
      </c>
      <c r="D36" t="s">
        <v>105</v>
      </c>
      <c r="E36" s="21" t="s">
        <v>106</v>
      </c>
      <c r="F36" t="s">
        <v>89</v>
      </c>
      <c r="G36" t="s">
        <v>107</v>
      </c>
      <c r="H36" s="2" t="s">
        <v>104</v>
      </c>
      <c r="I36" s="18">
        <v>0.26</v>
      </c>
      <c r="J36">
        <v>0</v>
      </c>
      <c r="K36" s="18">
        <f t="shared" ref="K36" si="3">I36*J36</f>
        <v>0</v>
      </c>
      <c r="L36" t="s">
        <v>230</v>
      </c>
    </row>
    <row r="39" spans="2:12" x14ac:dyDescent="0.25">
      <c r="J39" t="s">
        <v>102</v>
      </c>
      <c r="K39" s="18">
        <f>SUM(K2:K36)</f>
        <v>91.094999999999956</v>
      </c>
    </row>
  </sheetData>
  <phoneticPr fontId="4" type="noConversion"/>
  <hyperlinks>
    <hyperlink ref="H7" r:id="rId1" xr:uid="{5EDF1A87-99C4-4E66-B1C9-C3AB3BCEA97B}"/>
    <hyperlink ref="H6" r:id="rId2" xr:uid="{456C3040-5A36-41C3-B8EC-0487326B259A}"/>
    <hyperlink ref="H3" r:id="rId3" xr:uid="{91D0CF6F-F1FD-4DD3-B09B-10CC52ACCE3C}"/>
    <hyperlink ref="H36" r:id="rId4" xr:uid="{87C415EC-AC6C-4EC9-80A6-482171495E11}"/>
    <hyperlink ref="H12" r:id="rId5" xr:uid="{F969848C-B41B-46CF-86ED-8CE794F949C3}"/>
    <hyperlink ref="H13" r:id="rId6" xr:uid="{8F146872-B450-4ED3-84FC-A716F58C8CBB}"/>
    <hyperlink ref="H32" r:id="rId7" xr:uid="{9879EEA0-45FF-4854-9BE5-B051720AB4A7}"/>
    <hyperlink ref="H33" r:id="rId8" xr:uid="{EEB3EF2B-05F5-4ADE-BF65-4B3D9F1DD84C}"/>
    <hyperlink ref="H34" r:id="rId9" xr:uid="{D11589AF-E23D-4DE9-A301-E8B065053CBF}"/>
    <hyperlink ref="H14" r:id="rId10" xr:uid="{69172EAB-0E2F-4CAF-AD4E-E9A269F12043}"/>
    <hyperlink ref="H2" r:id="rId11" xr:uid="{A795DA27-95BC-4518-9934-DBB38FAE05A5}"/>
    <hyperlink ref="H4" r:id="rId12" xr:uid="{B04A069E-B862-424A-B777-F5329F02B535}"/>
    <hyperlink ref="H31" r:id="rId13" xr:uid="{62B0B987-C312-4965-B4B0-C534F69519B7}"/>
    <hyperlink ref="H8" r:id="rId14" xr:uid="{CFCD1484-BC42-445E-A82C-DD3A19BB6294}"/>
    <hyperlink ref="H9" r:id="rId15" xr:uid="{E4AD01DA-615A-4873-8F48-273571C13977}"/>
    <hyperlink ref="H10" r:id="rId16" xr:uid="{BDC76461-F14D-4A38-91E4-1B54270D6609}"/>
    <hyperlink ref="H11" r:id="rId17" xr:uid="{9A68C538-9E14-4FC7-8EBD-650E767FAA5D}"/>
    <hyperlink ref="H17" r:id="rId18" xr:uid="{8CDF28EE-CFE9-41CF-8DF9-1A4A09420107}"/>
    <hyperlink ref="H16" r:id="rId19" xr:uid="{19567E92-FEBC-4710-937B-E1A988ECF282}"/>
    <hyperlink ref="H18" r:id="rId20" xr:uid="{AC58DCB0-51D1-4A98-AF67-631C735FED1F}"/>
    <hyperlink ref="H20" r:id="rId21" xr:uid="{9A70FFD6-6332-4E43-AD4F-22B9DFF6D0E0}"/>
    <hyperlink ref="H19" r:id="rId22" xr:uid="{DDB0CA07-22ED-43A7-AD8C-5F05EDA16F82}"/>
    <hyperlink ref="H21" r:id="rId23" xr:uid="{92A7EA6E-0360-4AD6-8F1E-43E127816E2D}"/>
    <hyperlink ref="H23" r:id="rId24" xr:uid="{273124CE-9599-4948-9DE1-BDED386F3800}"/>
    <hyperlink ref="H22" r:id="rId25" xr:uid="{8DC87D6C-9562-49BB-A7E0-7954954EAC51}"/>
    <hyperlink ref="H28" r:id="rId26" xr:uid="{D154F484-51D7-467A-9B81-51224BDF6EAD}"/>
    <hyperlink ref="H29" r:id="rId27" xr:uid="{AD764579-DC42-4A18-B6E7-AC01C45EB192}"/>
    <hyperlink ref="H30" r:id="rId28" xr:uid="{3BBAE595-C1A2-4095-85CC-D6F2FC68F023}"/>
  </hyperlinks>
  <pageMargins left="0.7" right="0.7" top="0.75" bottom="0.75" header="0.3" footer="0.3"/>
  <ignoredErrors>
    <ignoredError sqref="E3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7257E-FE68-43CD-A1F2-90CBA5C3F0E6}">
  <dimension ref="A1:L40"/>
  <sheetViews>
    <sheetView zoomScale="91" zoomScaleNormal="85" workbookViewId="0">
      <pane ySplit="1" topLeftCell="A2" activePane="bottomLeft" state="frozen"/>
      <selection pane="bottomLeft" activeCell="E18" sqref="E18"/>
    </sheetView>
  </sheetViews>
  <sheetFormatPr defaultRowHeight="14.3" x14ac:dyDescent="0.25"/>
  <cols>
    <col min="1" max="1" width="6" customWidth="1"/>
    <col min="2" max="2" width="15.75" customWidth="1"/>
    <col min="3" max="3" width="24.25" customWidth="1"/>
    <col min="4" max="4" width="17.375" customWidth="1"/>
    <col min="5" max="5" width="21.625" style="21" customWidth="1"/>
    <col min="7" max="7" width="11.375" customWidth="1"/>
    <col min="8" max="8" width="12" customWidth="1"/>
    <col min="9" max="9" width="9" style="18"/>
    <col min="10" max="10" width="11" customWidth="1"/>
    <col min="11" max="11" width="14.25" style="18" customWidth="1"/>
  </cols>
  <sheetData>
    <row r="1" spans="1:12" s="19" customFormat="1" x14ac:dyDescent="0.25">
      <c r="A1" s="19" t="s">
        <v>84</v>
      </c>
      <c r="B1" s="19" t="s">
        <v>166</v>
      </c>
      <c r="C1" s="19" t="s">
        <v>83</v>
      </c>
      <c r="D1" s="19" t="s">
        <v>17</v>
      </c>
      <c r="E1" s="20" t="s">
        <v>80</v>
      </c>
      <c r="F1" s="19" t="s">
        <v>81</v>
      </c>
      <c r="G1" s="19" t="s">
        <v>82</v>
      </c>
      <c r="H1" s="19" t="s">
        <v>86</v>
      </c>
      <c r="I1" s="19" t="s">
        <v>43</v>
      </c>
      <c r="J1" s="19" t="s">
        <v>281</v>
      </c>
      <c r="K1" s="19" t="s">
        <v>96</v>
      </c>
      <c r="L1" s="19" t="s">
        <v>94</v>
      </c>
    </row>
    <row r="2" spans="1:12" x14ac:dyDescent="0.25">
      <c r="B2" t="s">
        <v>167</v>
      </c>
      <c r="C2" t="s">
        <v>168</v>
      </c>
      <c r="D2" t="s">
        <v>169</v>
      </c>
      <c r="E2" s="21" t="s">
        <v>170</v>
      </c>
      <c r="F2" t="s">
        <v>89</v>
      </c>
      <c r="G2" t="s">
        <v>171</v>
      </c>
      <c r="H2" s="2" t="s">
        <v>172</v>
      </c>
      <c r="I2" s="18">
        <v>0.52400000000000002</v>
      </c>
      <c r="J2">
        <v>10</v>
      </c>
      <c r="K2" s="18">
        <f t="shared" ref="K2:K37" si="0">I2*J2</f>
        <v>5.24</v>
      </c>
    </row>
    <row r="3" spans="1:12" x14ac:dyDescent="0.25">
      <c r="B3" t="s">
        <v>174</v>
      </c>
      <c r="C3" t="s">
        <v>101</v>
      </c>
      <c r="D3" t="s">
        <v>93</v>
      </c>
      <c r="E3" s="21" t="s">
        <v>100</v>
      </c>
      <c r="F3" t="s">
        <v>89</v>
      </c>
      <c r="G3" t="s">
        <v>99</v>
      </c>
      <c r="H3" s="2" t="s">
        <v>98</v>
      </c>
      <c r="I3" s="18">
        <v>13</v>
      </c>
      <c r="J3">
        <v>5</v>
      </c>
      <c r="K3" s="18">
        <f t="shared" si="0"/>
        <v>65</v>
      </c>
    </row>
    <row r="4" spans="1:12" x14ac:dyDescent="0.25">
      <c r="B4" t="s">
        <v>176</v>
      </c>
      <c r="C4" t="s">
        <v>109</v>
      </c>
      <c r="D4" t="s">
        <v>93</v>
      </c>
      <c r="E4" s="21" t="s">
        <v>139</v>
      </c>
      <c r="F4" t="s">
        <v>89</v>
      </c>
      <c r="G4" t="s">
        <v>140</v>
      </c>
      <c r="H4" s="2" t="s">
        <v>143</v>
      </c>
      <c r="I4" s="18">
        <v>0.92</v>
      </c>
      <c r="J4">
        <v>6</v>
      </c>
      <c r="K4" s="18">
        <f t="shared" si="0"/>
        <v>5.5200000000000005</v>
      </c>
      <c r="L4" t="s">
        <v>145</v>
      </c>
    </row>
    <row r="5" spans="1:12" x14ac:dyDescent="0.25">
      <c r="B5" t="s">
        <v>175</v>
      </c>
      <c r="C5" t="s">
        <v>108</v>
      </c>
      <c r="D5" t="s">
        <v>93</v>
      </c>
      <c r="E5" s="21" t="s">
        <v>138</v>
      </c>
      <c r="F5" t="s">
        <v>89</v>
      </c>
      <c r="G5" t="s">
        <v>141</v>
      </c>
      <c r="H5" s="2" t="s">
        <v>142</v>
      </c>
      <c r="I5" s="18">
        <v>0.83</v>
      </c>
      <c r="J5">
        <v>6</v>
      </c>
      <c r="K5" s="18">
        <f t="shared" si="0"/>
        <v>4.9799999999999995</v>
      </c>
      <c r="L5" t="s">
        <v>144</v>
      </c>
    </row>
    <row r="6" spans="1:12" x14ac:dyDescent="0.25">
      <c r="B6" t="s">
        <v>177</v>
      </c>
      <c r="C6" t="s">
        <v>179</v>
      </c>
      <c r="D6" t="s">
        <v>93</v>
      </c>
      <c r="E6" s="21" t="s">
        <v>92</v>
      </c>
      <c r="F6" t="s">
        <v>89</v>
      </c>
      <c r="G6" t="s">
        <v>91</v>
      </c>
      <c r="H6" s="2" t="s">
        <v>79</v>
      </c>
      <c r="I6" s="18">
        <v>4</v>
      </c>
      <c r="J6">
        <v>6</v>
      </c>
      <c r="K6" s="18">
        <f t="shared" si="0"/>
        <v>24</v>
      </c>
    </row>
    <row r="7" spans="1:12" x14ac:dyDescent="0.25">
      <c r="B7" t="s">
        <v>224</v>
      </c>
      <c r="C7" t="s">
        <v>85</v>
      </c>
      <c r="D7" t="s">
        <v>87</v>
      </c>
      <c r="E7" s="21" t="s">
        <v>88</v>
      </c>
      <c r="F7" t="s">
        <v>89</v>
      </c>
      <c r="G7" t="s">
        <v>90</v>
      </c>
      <c r="H7" s="2" t="s">
        <v>76</v>
      </c>
      <c r="I7" s="18">
        <v>1.7</v>
      </c>
      <c r="J7">
        <v>2</v>
      </c>
      <c r="K7" s="18">
        <f t="shared" si="0"/>
        <v>3.4</v>
      </c>
      <c r="L7" t="s">
        <v>285</v>
      </c>
    </row>
    <row r="8" spans="1:12" hidden="1" x14ac:dyDescent="0.25">
      <c r="C8" t="s">
        <v>85</v>
      </c>
      <c r="D8" t="s">
        <v>87</v>
      </c>
      <c r="E8" s="21" t="s">
        <v>88</v>
      </c>
      <c r="F8" t="s">
        <v>282</v>
      </c>
      <c r="G8" t="s">
        <v>283</v>
      </c>
      <c r="H8" s="2" t="s">
        <v>284</v>
      </c>
      <c r="I8" s="18">
        <v>1.72</v>
      </c>
      <c r="J8">
        <v>0</v>
      </c>
      <c r="K8" s="18">
        <f t="shared" si="0"/>
        <v>0</v>
      </c>
      <c r="L8" t="s">
        <v>286</v>
      </c>
    </row>
    <row r="9" spans="1:12" x14ac:dyDescent="0.25">
      <c r="B9" t="s">
        <v>202</v>
      </c>
      <c r="C9" t="s">
        <v>203</v>
      </c>
      <c r="D9" t="s">
        <v>204</v>
      </c>
      <c r="E9" s="21" t="s">
        <v>205</v>
      </c>
      <c r="F9" t="s">
        <v>89</v>
      </c>
      <c r="G9" t="s">
        <v>206</v>
      </c>
      <c r="H9" s="2" t="s">
        <v>207</v>
      </c>
      <c r="I9" s="18">
        <v>0.74</v>
      </c>
      <c r="J9">
        <v>3</v>
      </c>
      <c r="K9" s="18">
        <f t="shared" si="0"/>
        <v>2.2199999999999998</v>
      </c>
    </row>
    <row r="10" spans="1:12" x14ac:dyDescent="0.25">
      <c r="B10" t="s">
        <v>213</v>
      </c>
      <c r="C10" t="s">
        <v>208</v>
      </c>
      <c r="D10" t="s">
        <v>209</v>
      </c>
      <c r="E10" s="21" t="s">
        <v>210</v>
      </c>
      <c r="F10" t="s">
        <v>89</v>
      </c>
      <c r="G10" t="s">
        <v>211</v>
      </c>
      <c r="H10" s="2" t="s">
        <v>212</v>
      </c>
      <c r="I10" s="18">
        <v>0.21</v>
      </c>
      <c r="J10">
        <v>3</v>
      </c>
      <c r="K10" s="18">
        <f t="shared" si="0"/>
        <v>0.63</v>
      </c>
    </row>
    <row r="11" spans="1:12" x14ac:dyDescent="0.25">
      <c r="B11" t="s">
        <v>214</v>
      </c>
      <c r="C11" t="s">
        <v>215</v>
      </c>
      <c r="D11" t="s">
        <v>216</v>
      </c>
      <c r="E11" s="21" t="s">
        <v>217</v>
      </c>
      <c r="F11" t="s">
        <v>89</v>
      </c>
      <c r="G11" t="s">
        <v>218</v>
      </c>
      <c r="H11" s="2" t="s">
        <v>219</v>
      </c>
      <c r="I11" s="18">
        <v>4.71</v>
      </c>
      <c r="J11">
        <v>2</v>
      </c>
      <c r="K11" s="18">
        <f t="shared" si="0"/>
        <v>9.42</v>
      </c>
    </row>
    <row r="12" spans="1:12" x14ac:dyDescent="0.25">
      <c r="B12" t="s">
        <v>220</v>
      </c>
      <c r="C12" t="s">
        <v>180</v>
      </c>
      <c r="D12" t="s">
        <v>93</v>
      </c>
      <c r="E12" s="21" t="s">
        <v>222</v>
      </c>
      <c r="F12" t="s">
        <v>89</v>
      </c>
      <c r="G12" t="s">
        <v>223</v>
      </c>
      <c r="H12" s="2" t="s">
        <v>221</v>
      </c>
      <c r="I12" s="18">
        <v>3.45</v>
      </c>
      <c r="J12">
        <v>2</v>
      </c>
      <c r="K12" s="18">
        <f t="shared" si="0"/>
        <v>6.9</v>
      </c>
    </row>
    <row r="13" spans="1:12" x14ac:dyDescent="0.25">
      <c r="B13" t="s">
        <v>231</v>
      </c>
      <c r="C13" t="s">
        <v>110</v>
      </c>
      <c r="D13" t="s">
        <v>93</v>
      </c>
      <c r="E13" s="21" t="s">
        <v>111</v>
      </c>
      <c r="F13" t="s">
        <v>89</v>
      </c>
      <c r="G13" t="s">
        <v>112</v>
      </c>
      <c r="H13" s="2" t="s">
        <v>113</v>
      </c>
      <c r="I13" s="18">
        <v>0.24</v>
      </c>
      <c r="J13">
        <v>3</v>
      </c>
      <c r="K13" s="18">
        <f t="shared" si="0"/>
        <v>0.72</v>
      </c>
    </row>
    <row r="14" spans="1:12" x14ac:dyDescent="0.25">
      <c r="B14" t="s">
        <v>178</v>
      </c>
      <c r="C14" t="s">
        <v>114</v>
      </c>
      <c r="D14" t="s">
        <v>115</v>
      </c>
      <c r="E14" s="21" t="s">
        <v>116</v>
      </c>
      <c r="F14" t="s">
        <v>89</v>
      </c>
      <c r="G14" t="s">
        <v>117</v>
      </c>
      <c r="H14" s="2" t="s">
        <v>118</v>
      </c>
      <c r="I14" s="18">
        <v>0.91</v>
      </c>
      <c r="J14">
        <v>3</v>
      </c>
      <c r="K14" s="18">
        <f t="shared" si="0"/>
        <v>2.73</v>
      </c>
    </row>
    <row r="15" spans="1:12" x14ac:dyDescent="0.25">
      <c r="B15" t="s">
        <v>225</v>
      </c>
      <c r="C15" t="s">
        <v>133</v>
      </c>
      <c r="D15" t="s">
        <v>134</v>
      </c>
      <c r="E15" s="21" t="s">
        <v>135</v>
      </c>
      <c r="F15" t="s">
        <v>89</v>
      </c>
      <c r="G15" t="s">
        <v>136</v>
      </c>
      <c r="H15" s="2" t="s">
        <v>137</v>
      </c>
      <c r="I15" s="18">
        <v>0.21099999999999999</v>
      </c>
      <c r="J15">
        <v>10</v>
      </c>
      <c r="K15" s="18">
        <f t="shared" si="0"/>
        <v>2.11</v>
      </c>
    </row>
    <row r="16" spans="1:12" x14ac:dyDescent="0.25">
      <c r="B16" t="s">
        <v>200</v>
      </c>
      <c r="C16" t="s">
        <v>196</v>
      </c>
      <c r="D16" t="s">
        <v>134</v>
      </c>
      <c r="E16" s="21" t="s">
        <v>197</v>
      </c>
      <c r="F16" t="s">
        <v>89</v>
      </c>
      <c r="G16" t="s">
        <v>198</v>
      </c>
      <c r="H16" s="2" t="s">
        <v>199</v>
      </c>
      <c r="I16" s="18">
        <v>0.22</v>
      </c>
      <c r="J16">
        <v>2</v>
      </c>
      <c r="K16" s="18">
        <f t="shared" si="0"/>
        <v>0.44</v>
      </c>
    </row>
    <row r="17" spans="2:12" x14ac:dyDescent="0.25">
      <c r="B17" t="s">
        <v>187</v>
      </c>
      <c r="C17" t="s">
        <v>183</v>
      </c>
      <c r="D17" t="s">
        <v>251</v>
      </c>
      <c r="E17" s="21" t="s">
        <v>252</v>
      </c>
      <c r="F17" t="s">
        <v>89</v>
      </c>
      <c r="G17" t="s">
        <v>253</v>
      </c>
      <c r="H17" s="2" t="s">
        <v>254</v>
      </c>
      <c r="I17" s="18">
        <v>0.14499999999999999</v>
      </c>
      <c r="J17">
        <v>10</v>
      </c>
      <c r="K17" s="18">
        <f t="shared" si="0"/>
        <v>1.45</v>
      </c>
    </row>
    <row r="18" spans="2:12" x14ac:dyDescent="0.25">
      <c r="B18" t="s">
        <v>188</v>
      </c>
      <c r="C18" t="s">
        <v>184</v>
      </c>
      <c r="D18" t="s">
        <v>251</v>
      </c>
      <c r="E18" s="21" t="s">
        <v>255</v>
      </c>
      <c r="F18" t="s">
        <v>89</v>
      </c>
      <c r="G18" t="s">
        <v>256</v>
      </c>
      <c r="H18" s="2" t="s">
        <v>257</v>
      </c>
      <c r="I18" s="18">
        <v>0.153</v>
      </c>
      <c r="J18">
        <v>10</v>
      </c>
      <c r="K18" s="18">
        <f t="shared" si="0"/>
        <v>1.53</v>
      </c>
    </row>
    <row r="19" spans="2:12" x14ac:dyDescent="0.25">
      <c r="B19" t="s">
        <v>186</v>
      </c>
      <c r="C19" t="s">
        <v>182</v>
      </c>
      <c r="D19" t="s">
        <v>105</v>
      </c>
      <c r="E19" s="21" t="s">
        <v>258</v>
      </c>
      <c r="F19" t="s">
        <v>89</v>
      </c>
      <c r="G19" t="s">
        <v>259</v>
      </c>
      <c r="H19" s="2" t="s">
        <v>260</v>
      </c>
      <c r="I19" s="18">
        <v>0.17299999999999999</v>
      </c>
      <c r="J19">
        <v>10</v>
      </c>
      <c r="K19" s="18">
        <f t="shared" si="0"/>
        <v>1.73</v>
      </c>
    </row>
    <row r="20" spans="2:12" x14ac:dyDescent="0.25">
      <c r="B20" t="s">
        <v>185</v>
      </c>
      <c r="C20" t="s">
        <v>181</v>
      </c>
      <c r="D20" t="s">
        <v>105</v>
      </c>
      <c r="E20" s="21" t="s">
        <v>261</v>
      </c>
      <c r="F20" t="s">
        <v>89</v>
      </c>
      <c r="G20" t="s">
        <v>262</v>
      </c>
      <c r="H20" s="2" t="s">
        <v>263</v>
      </c>
      <c r="I20" s="18">
        <v>0.17299999999999999</v>
      </c>
      <c r="J20">
        <v>10</v>
      </c>
      <c r="K20" s="18">
        <f t="shared" si="0"/>
        <v>1.73</v>
      </c>
    </row>
    <row r="21" spans="2:12" x14ac:dyDescent="0.25">
      <c r="B21" t="s">
        <v>194</v>
      </c>
      <c r="C21" t="s">
        <v>173</v>
      </c>
      <c r="D21" t="s">
        <v>87</v>
      </c>
      <c r="F21" t="s">
        <v>89</v>
      </c>
      <c r="G21" t="s">
        <v>274</v>
      </c>
      <c r="H21" s="2" t="s">
        <v>272</v>
      </c>
      <c r="I21" s="18">
        <v>8.0000000000000002E-3</v>
      </c>
      <c r="J21">
        <v>25</v>
      </c>
      <c r="K21" s="18">
        <f t="shared" si="0"/>
        <v>0.2</v>
      </c>
      <c r="L21" t="s">
        <v>240</v>
      </c>
    </row>
    <row r="22" spans="2:12" x14ac:dyDescent="0.25">
      <c r="C22" s="12" t="s">
        <v>241</v>
      </c>
      <c r="D22" t="s">
        <v>87</v>
      </c>
      <c r="F22" t="s">
        <v>89</v>
      </c>
      <c r="G22" t="s">
        <v>275</v>
      </c>
      <c r="H22" s="2" t="s">
        <v>264</v>
      </c>
      <c r="I22" s="18">
        <v>6.2799999999999995E-2</v>
      </c>
      <c r="J22">
        <v>25</v>
      </c>
      <c r="K22" s="18">
        <f t="shared" si="0"/>
        <v>1.5699999999999998</v>
      </c>
      <c r="L22" t="s">
        <v>243</v>
      </c>
    </row>
    <row r="23" spans="2:12" x14ac:dyDescent="0.25">
      <c r="C23" s="12" t="s">
        <v>242</v>
      </c>
      <c r="D23" t="s">
        <v>87</v>
      </c>
      <c r="F23" t="s">
        <v>89</v>
      </c>
      <c r="G23" t="s">
        <v>277</v>
      </c>
      <c r="H23" s="2" t="s">
        <v>265</v>
      </c>
      <c r="I23" s="18">
        <v>6.2799999999999995E-2</v>
      </c>
      <c r="J23">
        <v>25</v>
      </c>
      <c r="K23" s="18">
        <f t="shared" si="0"/>
        <v>1.5699999999999998</v>
      </c>
      <c r="L23" t="s">
        <v>246</v>
      </c>
    </row>
    <row r="24" spans="2:12" x14ac:dyDescent="0.25">
      <c r="C24" s="12" t="s">
        <v>195</v>
      </c>
      <c r="D24" t="s">
        <v>87</v>
      </c>
      <c r="F24" t="s">
        <v>89</v>
      </c>
      <c r="G24" t="s">
        <v>276</v>
      </c>
      <c r="H24" s="2" t="s">
        <v>266</v>
      </c>
      <c r="I24" s="18">
        <v>6.2799999999999995E-2</v>
      </c>
      <c r="J24">
        <v>25</v>
      </c>
      <c r="K24" s="18">
        <f t="shared" si="0"/>
        <v>1.5699999999999998</v>
      </c>
      <c r="L24" t="s">
        <v>244</v>
      </c>
    </row>
    <row r="25" spans="2:12" hidden="1" x14ac:dyDescent="0.25">
      <c r="C25" t="s">
        <v>245</v>
      </c>
      <c r="H25" s="2"/>
      <c r="J25">
        <v>0</v>
      </c>
      <c r="K25" s="18">
        <f t="shared" si="0"/>
        <v>0</v>
      </c>
      <c r="L25" t="s">
        <v>249</v>
      </c>
    </row>
    <row r="26" spans="2:12" hidden="1" x14ac:dyDescent="0.25">
      <c r="C26" t="s">
        <v>247</v>
      </c>
      <c r="H26" s="2"/>
      <c r="J26">
        <v>0</v>
      </c>
      <c r="K26" s="18">
        <f t="shared" si="0"/>
        <v>0</v>
      </c>
      <c r="L26" t="s">
        <v>249</v>
      </c>
    </row>
    <row r="27" spans="2:12" hidden="1" x14ac:dyDescent="0.25">
      <c r="C27" t="s">
        <v>248</v>
      </c>
      <c r="H27" s="2"/>
      <c r="J27">
        <v>0</v>
      </c>
      <c r="K27" s="18">
        <f t="shared" si="0"/>
        <v>0</v>
      </c>
      <c r="L27" t="s">
        <v>249</v>
      </c>
    </row>
    <row r="28" spans="2:12" hidden="1" x14ac:dyDescent="0.25">
      <c r="C28" t="s">
        <v>250</v>
      </c>
      <c r="H28" s="2"/>
      <c r="J28">
        <v>0</v>
      </c>
      <c r="K28" s="18">
        <f t="shared" si="0"/>
        <v>0</v>
      </c>
      <c r="L28" t="s">
        <v>249</v>
      </c>
    </row>
    <row r="29" spans="2:12" x14ac:dyDescent="0.25">
      <c r="B29" t="s">
        <v>189</v>
      </c>
      <c r="C29" s="12" t="s">
        <v>190</v>
      </c>
      <c r="D29" t="s">
        <v>236</v>
      </c>
      <c r="E29" s="21" t="s">
        <v>237</v>
      </c>
      <c r="F29" t="s">
        <v>89</v>
      </c>
      <c r="G29" t="s">
        <v>238</v>
      </c>
      <c r="H29" s="2" t="s">
        <v>191</v>
      </c>
      <c r="I29" s="18">
        <v>0.26900000000000002</v>
      </c>
      <c r="J29">
        <v>20</v>
      </c>
      <c r="K29" s="18">
        <f t="shared" si="0"/>
        <v>5.3800000000000008</v>
      </c>
      <c r="L29" t="s">
        <v>232</v>
      </c>
    </row>
    <row r="30" spans="2:12" x14ac:dyDescent="0.25">
      <c r="B30" t="s">
        <v>192</v>
      </c>
      <c r="C30" s="12" t="s">
        <v>120</v>
      </c>
      <c r="D30" t="s">
        <v>121</v>
      </c>
      <c r="E30" s="21" t="s">
        <v>122</v>
      </c>
      <c r="F30" t="s">
        <v>89</v>
      </c>
      <c r="G30" t="s">
        <v>123</v>
      </c>
      <c r="H30" s="2" t="s">
        <v>119</v>
      </c>
      <c r="I30" s="18">
        <v>4.8000000000000001E-2</v>
      </c>
      <c r="J30">
        <v>10</v>
      </c>
      <c r="K30" s="18">
        <f t="shared" si="0"/>
        <v>0.48</v>
      </c>
      <c r="L30" t="s">
        <v>233</v>
      </c>
    </row>
    <row r="31" spans="2:12" x14ac:dyDescent="0.25">
      <c r="B31" t="s">
        <v>201</v>
      </c>
      <c r="C31" s="12" t="s">
        <v>124</v>
      </c>
      <c r="D31" t="s">
        <v>126</v>
      </c>
      <c r="E31" s="21" t="s">
        <v>127</v>
      </c>
      <c r="F31" t="s">
        <v>89</v>
      </c>
      <c r="G31" t="s">
        <v>128</v>
      </c>
      <c r="H31" s="2" t="s">
        <v>125</v>
      </c>
      <c r="I31" s="18">
        <v>2.0799999999999999E-2</v>
      </c>
      <c r="J31">
        <v>50</v>
      </c>
      <c r="K31" s="18">
        <f t="shared" si="0"/>
        <v>1.04</v>
      </c>
      <c r="L31" t="s">
        <v>234</v>
      </c>
    </row>
    <row r="32" spans="2:12" x14ac:dyDescent="0.25">
      <c r="B32" t="s">
        <v>193</v>
      </c>
      <c r="C32" s="12" t="s">
        <v>129</v>
      </c>
      <c r="D32" t="s">
        <v>121</v>
      </c>
      <c r="E32" s="21" t="s">
        <v>130</v>
      </c>
      <c r="F32" t="s">
        <v>89</v>
      </c>
      <c r="G32" t="s">
        <v>131</v>
      </c>
      <c r="H32" s="2" t="s">
        <v>132</v>
      </c>
      <c r="I32" s="18">
        <v>3.5999999999999997E-2</v>
      </c>
      <c r="J32">
        <v>20</v>
      </c>
      <c r="K32" s="18">
        <f t="shared" si="0"/>
        <v>0.72</v>
      </c>
      <c r="L32" t="s">
        <v>235</v>
      </c>
    </row>
    <row r="33" spans="3:12" x14ac:dyDescent="0.25">
      <c r="C33" s="12" t="s">
        <v>226</v>
      </c>
      <c r="D33" t="s">
        <v>227</v>
      </c>
      <c r="E33" s="21" t="s">
        <v>228</v>
      </c>
      <c r="F33" t="s">
        <v>89</v>
      </c>
      <c r="G33" t="s">
        <v>229</v>
      </c>
      <c r="H33" s="2" t="s">
        <v>147</v>
      </c>
      <c r="I33" s="18">
        <v>0.35499999999999998</v>
      </c>
      <c r="J33">
        <v>12</v>
      </c>
      <c r="K33" s="18">
        <f t="shared" si="0"/>
        <v>4.26</v>
      </c>
      <c r="L33" t="s">
        <v>239</v>
      </c>
    </row>
    <row r="34" spans="3:12" hidden="1" x14ac:dyDescent="0.25">
      <c r="C34" t="s">
        <v>103</v>
      </c>
      <c r="D34" t="s">
        <v>105</v>
      </c>
      <c r="E34" s="21" t="s">
        <v>106</v>
      </c>
      <c r="F34" t="s">
        <v>89</v>
      </c>
      <c r="G34" t="s">
        <v>107</v>
      </c>
      <c r="H34" s="2" t="s">
        <v>104</v>
      </c>
      <c r="I34" s="18">
        <v>0.26</v>
      </c>
      <c r="J34">
        <v>0</v>
      </c>
      <c r="K34" s="18">
        <f t="shared" si="0"/>
        <v>0</v>
      </c>
      <c r="L34" t="s">
        <v>230</v>
      </c>
    </row>
    <row r="35" spans="3:12" x14ac:dyDescent="0.25">
      <c r="C35" s="12" t="s">
        <v>268</v>
      </c>
      <c r="D35" t="s">
        <v>87</v>
      </c>
      <c r="F35" t="s">
        <v>89</v>
      </c>
      <c r="G35" t="s">
        <v>278</v>
      </c>
      <c r="H35" s="2" t="s">
        <v>269</v>
      </c>
      <c r="I35" s="18">
        <v>2.4E-2</v>
      </c>
      <c r="J35">
        <v>10</v>
      </c>
      <c r="K35" s="18">
        <f t="shared" si="0"/>
        <v>0.24</v>
      </c>
      <c r="L35" t="s">
        <v>273</v>
      </c>
    </row>
    <row r="36" spans="3:12" x14ac:dyDescent="0.25">
      <c r="C36" s="12" t="s">
        <v>267</v>
      </c>
      <c r="D36" t="s">
        <v>87</v>
      </c>
      <c r="F36" t="s">
        <v>89</v>
      </c>
      <c r="G36" t="s">
        <v>279</v>
      </c>
      <c r="H36" s="2" t="s">
        <v>270</v>
      </c>
      <c r="I36" s="18">
        <v>2.4E-2</v>
      </c>
      <c r="J36">
        <v>10</v>
      </c>
      <c r="K36" s="18">
        <f t="shared" si="0"/>
        <v>0.24</v>
      </c>
      <c r="L36" t="s">
        <v>273</v>
      </c>
    </row>
    <row r="37" spans="3:12" x14ac:dyDescent="0.25">
      <c r="C37" s="12" t="s">
        <v>250</v>
      </c>
      <c r="D37" t="s">
        <v>87</v>
      </c>
      <c r="F37" t="s">
        <v>89</v>
      </c>
      <c r="G37" t="s">
        <v>280</v>
      </c>
      <c r="H37" s="2" t="s">
        <v>271</v>
      </c>
      <c r="I37" s="18">
        <v>2.4E-2</v>
      </c>
      <c r="J37">
        <v>10</v>
      </c>
      <c r="K37" s="18">
        <f t="shared" si="0"/>
        <v>0.24</v>
      </c>
      <c r="L37" t="s">
        <v>273</v>
      </c>
    </row>
    <row r="40" spans="3:12" x14ac:dyDescent="0.25">
      <c r="J40" t="s">
        <v>102</v>
      </c>
      <c r="K40" s="18">
        <f>SUM(K2:K37)</f>
        <v>157.25999999999993</v>
      </c>
    </row>
  </sheetData>
  <hyperlinks>
    <hyperlink ref="H7" r:id="rId1" xr:uid="{362EF48E-92DA-4BD5-BD47-F086B1034D03}"/>
    <hyperlink ref="H6" r:id="rId2" xr:uid="{8DC7DCB1-C09F-4041-A56D-5B9B4E4EC89F}"/>
    <hyperlink ref="H3" r:id="rId3" xr:uid="{9BC9C04A-AE1D-45ED-A985-809C46BAF14E}"/>
    <hyperlink ref="H34" r:id="rId4" xr:uid="{37A99887-A2FC-43B0-8FAF-283B782E29CB}"/>
    <hyperlink ref="H13" r:id="rId5" xr:uid="{C7CC577D-C856-4D76-BB04-3D52F46EB62A}"/>
    <hyperlink ref="H14" r:id="rId6" xr:uid="{42C05CE5-E827-404E-A57F-D3C9F9F8E137}"/>
    <hyperlink ref="H30" r:id="rId7" xr:uid="{C5330996-DCCA-4EF8-88FB-09125A30A6A0}"/>
    <hyperlink ref="H31" r:id="rId8" xr:uid="{B62B4A7D-0FF1-4E7C-AD40-A82DA87EAAF6}"/>
    <hyperlink ref="H32" r:id="rId9" xr:uid="{D418D267-1794-433F-A759-17EE5681E8F9}"/>
    <hyperlink ref="H15" r:id="rId10" xr:uid="{1E359EF4-8114-47B2-B878-D1762307BFFE}"/>
    <hyperlink ref="H2" r:id="rId11" xr:uid="{12C4D491-25CC-4B4B-9E59-B87EFD4F7B91}"/>
    <hyperlink ref="H4" r:id="rId12" xr:uid="{796FB57C-CF53-4451-B171-A3DB336FD399}"/>
    <hyperlink ref="H29" r:id="rId13" xr:uid="{E44B9273-5AC0-4F74-861D-F6D6EB0C9498}"/>
    <hyperlink ref="H9" r:id="rId14" xr:uid="{E9192BFC-223B-4B61-8DBF-37E1EB707804}"/>
    <hyperlink ref="H10" r:id="rId15" xr:uid="{B27CFBA4-68CF-45C9-A3E8-9256E4F01550}"/>
    <hyperlink ref="H11" r:id="rId16" xr:uid="{9C9B05DE-E6C8-4FD3-A370-817C8B9354A6}"/>
    <hyperlink ref="H12" r:id="rId17" xr:uid="{5A35451D-AF7A-41C1-8AEA-E2846E3C1435}"/>
    <hyperlink ref="H18" r:id="rId18" xr:uid="{D7E8B63E-483F-44E8-9513-941CC98EBACC}"/>
    <hyperlink ref="H17" r:id="rId19" xr:uid="{26C54377-5477-46E8-8E87-7AD7FB71F3BF}"/>
    <hyperlink ref="H19" r:id="rId20" xr:uid="{D89435C4-2976-4DF7-B057-4156D651F8A2}"/>
    <hyperlink ref="H21" r:id="rId21" xr:uid="{0950E602-21A1-4107-8764-1B0D1618332A}"/>
    <hyperlink ref="H20" r:id="rId22" xr:uid="{582614D6-57AD-4307-87BB-4C96127EE0BA}"/>
    <hyperlink ref="H22" r:id="rId23" xr:uid="{3A71C5A1-2CC7-49B4-9300-7509DB304540}"/>
    <hyperlink ref="H24" r:id="rId24" xr:uid="{B03CB137-EC38-4D1E-A90F-8D1BC62686E4}"/>
    <hyperlink ref="H23" r:id="rId25" xr:uid="{16D27D7F-4220-4BFB-BEE0-9CBB4C78E7D0}"/>
    <hyperlink ref="H35" r:id="rId26" xr:uid="{AE22B4D7-F19E-4FB6-A975-96077247F687}"/>
    <hyperlink ref="H36" r:id="rId27" xr:uid="{045E1444-D2B5-47AA-B500-04A131FB5BC0}"/>
    <hyperlink ref="H37" r:id="rId28" xr:uid="{00E2D55D-D3F0-4649-B0BF-8533E0921EB1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A16F8-4823-4479-BDD9-C9B05E3C2139}">
  <dimension ref="A2:E47"/>
  <sheetViews>
    <sheetView zoomScale="75" workbookViewId="0">
      <selection activeCell="F25" sqref="F25"/>
    </sheetView>
  </sheetViews>
  <sheetFormatPr defaultRowHeight="14.3" x14ac:dyDescent="0.25"/>
  <cols>
    <col min="1" max="1" width="22.125" customWidth="1"/>
  </cols>
  <sheetData>
    <row r="2" spans="1:5" x14ac:dyDescent="0.25">
      <c r="A2" t="s">
        <v>0</v>
      </c>
    </row>
    <row r="3" spans="1:5" x14ac:dyDescent="0.25">
      <c r="E3" t="s">
        <v>1</v>
      </c>
    </row>
    <row r="4" spans="1:5" x14ac:dyDescent="0.25">
      <c r="A4" t="s">
        <v>2</v>
      </c>
      <c r="B4">
        <v>53</v>
      </c>
      <c r="C4" t="s">
        <v>3</v>
      </c>
      <c r="D4" t="s">
        <v>4</v>
      </c>
      <c r="E4" t="s">
        <v>52</v>
      </c>
    </row>
    <row r="5" spans="1:5" x14ac:dyDescent="0.25">
      <c r="A5" t="s">
        <v>5</v>
      </c>
      <c r="B5">
        <v>0.3</v>
      </c>
      <c r="C5" t="s">
        <v>62</v>
      </c>
      <c r="D5" t="s">
        <v>6</v>
      </c>
    </row>
    <row r="6" spans="1:5" x14ac:dyDescent="0.25">
      <c r="A6" t="s">
        <v>53</v>
      </c>
      <c r="B6">
        <v>11</v>
      </c>
      <c r="C6" t="s">
        <v>7</v>
      </c>
      <c r="D6" t="s">
        <v>6</v>
      </c>
    </row>
    <row r="7" spans="1:5" x14ac:dyDescent="0.25">
      <c r="A7" t="s">
        <v>58</v>
      </c>
      <c r="B7">
        <v>1</v>
      </c>
      <c r="C7" t="s">
        <v>59</v>
      </c>
    </row>
    <row r="9" spans="1:5" x14ac:dyDescent="0.25">
      <c r="A9" t="s">
        <v>61</v>
      </c>
      <c r="B9">
        <f>(1+B7/100)*B5</f>
        <v>0.30299999999999999</v>
      </c>
      <c r="C9" t="s">
        <v>62</v>
      </c>
      <c r="D9" t="s">
        <v>70</v>
      </c>
    </row>
    <row r="10" spans="1:5" x14ac:dyDescent="0.25">
      <c r="A10" t="s">
        <v>60</v>
      </c>
      <c r="B10">
        <f>(1-B7/100)*B5</f>
        <v>0.29699999999999999</v>
      </c>
      <c r="C10" t="s">
        <v>62</v>
      </c>
    </row>
    <row r="12" spans="1:5" x14ac:dyDescent="0.25">
      <c r="A12" t="s">
        <v>66</v>
      </c>
      <c r="B12" s="6">
        <f>B4^2*B5/1000</f>
        <v>0.84269999999999989</v>
      </c>
      <c r="C12" t="s">
        <v>7</v>
      </c>
      <c r="D12" t="s">
        <v>8</v>
      </c>
      <c r="E12" t="s">
        <v>97</v>
      </c>
    </row>
    <row r="13" spans="1:5" x14ac:dyDescent="0.25">
      <c r="A13" t="s">
        <v>67</v>
      </c>
      <c r="B13" s="6">
        <f>B4^2*B9/1000</f>
        <v>0.85112699999999997</v>
      </c>
      <c r="C13" t="s">
        <v>7</v>
      </c>
      <c r="D13" t="s">
        <v>8</v>
      </c>
    </row>
    <row r="14" spans="1:5" x14ac:dyDescent="0.25">
      <c r="A14" t="s">
        <v>68</v>
      </c>
      <c r="B14" s="6">
        <f>B4^2*B10/1000</f>
        <v>0.83427299999999993</v>
      </c>
      <c r="C14" t="s">
        <v>7</v>
      </c>
      <c r="D14" t="s">
        <v>8</v>
      </c>
    </row>
    <row r="15" spans="1:5" x14ac:dyDescent="0.25">
      <c r="A15" t="s">
        <v>65</v>
      </c>
      <c r="B15" s="6">
        <f>B4*B5/1000</f>
        <v>1.5899999999999997E-2</v>
      </c>
      <c r="C15" t="s">
        <v>9</v>
      </c>
      <c r="D15" t="s">
        <v>8</v>
      </c>
    </row>
    <row r="16" spans="1:5" x14ac:dyDescent="0.25">
      <c r="A16" t="s">
        <v>67</v>
      </c>
      <c r="B16" s="6">
        <f>B4*B9/1000</f>
        <v>1.6059E-2</v>
      </c>
      <c r="C16" t="s">
        <v>9</v>
      </c>
      <c r="D16" t="s">
        <v>8</v>
      </c>
    </row>
    <row r="17" spans="1:5" x14ac:dyDescent="0.25">
      <c r="A17" t="s">
        <v>68</v>
      </c>
      <c r="B17" s="6">
        <f>B4*B10/1000</f>
        <v>1.5740999999999998E-2</v>
      </c>
      <c r="C17" t="s">
        <v>9</v>
      </c>
      <c r="D17" t="s">
        <v>8</v>
      </c>
    </row>
    <row r="19" spans="1:5" x14ac:dyDescent="0.25">
      <c r="A19" t="s">
        <v>10</v>
      </c>
      <c r="B19">
        <v>3.6</v>
      </c>
      <c r="C19" t="s">
        <v>9</v>
      </c>
      <c r="D19" t="s">
        <v>4</v>
      </c>
    </row>
    <row r="20" spans="1:5" x14ac:dyDescent="0.25">
      <c r="A20" t="s">
        <v>11</v>
      </c>
      <c r="B20">
        <v>1.8</v>
      </c>
      <c r="C20" t="s">
        <v>9</v>
      </c>
      <c r="D20" t="s">
        <v>4</v>
      </c>
    </row>
    <row r="21" spans="1:5" x14ac:dyDescent="0.25">
      <c r="A21" t="s">
        <v>12</v>
      </c>
      <c r="B21">
        <v>100</v>
      </c>
      <c r="C21" t="s">
        <v>13</v>
      </c>
      <c r="D21" t="s">
        <v>6</v>
      </c>
      <c r="E21" t="s">
        <v>54</v>
      </c>
    </row>
    <row r="23" spans="1:5" x14ac:dyDescent="0.25">
      <c r="A23" t="s">
        <v>69</v>
      </c>
      <c r="B23">
        <f>B15*B21</f>
        <v>1.5899999999999999</v>
      </c>
      <c r="C23" t="s">
        <v>14</v>
      </c>
      <c r="D23" t="s">
        <v>8</v>
      </c>
    </row>
    <row r="24" spans="1:5" x14ac:dyDescent="0.25">
      <c r="A24" t="s">
        <v>67</v>
      </c>
      <c r="B24">
        <f>B16*B21</f>
        <v>1.6059000000000001</v>
      </c>
    </row>
    <row r="25" spans="1:5" x14ac:dyDescent="0.25">
      <c r="A25" t="s">
        <v>63</v>
      </c>
      <c r="B25">
        <f>B20+B23</f>
        <v>3.3899999999999997</v>
      </c>
    </row>
    <row r="26" spans="1:5" x14ac:dyDescent="0.25">
      <c r="A26" t="s">
        <v>67</v>
      </c>
      <c r="B26">
        <f>B24+B20</f>
        <v>3.4058999999999999</v>
      </c>
    </row>
    <row r="27" spans="1:5" x14ac:dyDescent="0.25">
      <c r="A27" t="s">
        <v>64</v>
      </c>
      <c r="B27">
        <f>B20-B23</f>
        <v>0.21000000000000019</v>
      </c>
    </row>
    <row r="28" spans="1:5" x14ac:dyDescent="0.25">
      <c r="A28" t="s">
        <v>68</v>
      </c>
      <c r="B28">
        <f>B20-B24</f>
        <v>0.19409999999999994</v>
      </c>
    </row>
    <row r="34" spans="1:5" x14ac:dyDescent="0.25">
      <c r="A34" t="s">
        <v>15</v>
      </c>
      <c r="B34">
        <v>3.6</v>
      </c>
      <c r="C34" t="s">
        <v>9</v>
      </c>
    </row>
    <row r="35" spans="1:5" x14ac:dyDescent="0.25">
      <c r="A35" t="s">
        <v>16</v>
      </c>
      <c r="B35" t="s">
        <v>55</v>
      </c>
    </row>
    <row r="38" spans="1:5" x14ac:dyDescent="0.25">
      <c r="A38" t="s">
        <v>56</v>
      </c>
    </row>
    <row r="39" spans="1:5" x14ac:dyDescent="0.25">
      <c r="A39" s="4" t="s">
        <v>57</v>
      </c>
    </row>
    <row r="41" spans="1:5" x14ac:dyDescent="0.25">
      <c r="A41" t="s">
        <v>71</v>
      </c>
    </row>
    <row r="42" spans="1:5" x14ac:dyDescent="0.25">
      <c r="A42" t="s">
        <v>72</v>
      </c>
    </row>
    <row r="43" spans="1:5" x14ac:dyDescent="0.25">
      <c r="C43" s="1"/>
    </row>
    <row r="44" spans="1:5" ht="14.95" thickBot="1" x14ac:dyDescent="0.3"/>
    <row r="45" spans="1:5" x14ac:dyDescent="0.25">
      <c r="A45" s="7" t="s">
        <v>73</v>
      </c>
      <c r="B45" s="8"/>
      <c r="C45" s="8"/>
      <c r="D45" s="8"/>
      <c r="E45" s="9"/>
    </row>
    <row r="46" spans="1:5" x14ac:dyDescent="0.25">
      <c r="A46" s="10" t="s">
        <v>74</v>
      </c>
      <c r="B46" s="11" t="s">
        <v>79</v>
      </c>
      <c r="C46" s="12" t="s">
        <v>78</v>
      </c>
      <c r="D46" s="12"/>
      <c r="E46" s="13"/>
    </row>
    <row r="47" spans="1:5" ht="14.95" thickBot="1" x14ac:dyDescent="0.3">
      <c r="A47" s="14" t="s">
        <v>75</v>
      </c>
      <c r="B47" s="15" t="s">
        <v>76</v>
      </c>
      <c r="C47" s="16" t="s">
        <v>77</v>
      </c>
      <c r="D47" s="16"/>
      <c r="E47" s="17"/>
    </row>
  </sheetData>
  <conditionalFormatting sqref="B12:B14">
    <cfRule type="cellIs" dxfId="8" priority="1" operator="greaterThan">
      <formula>$B$6</formula>
    </cfRule>
    <cfRule type="cellIs" dxfId="7" priority="6" operator="lessThan">
      <formula>$B$6</formula>
    </cfRule>
  </conditionalFormatting>
  <conditionalFormatting sqref="B23:B24">
    <cfRule type="cellIs" dxfId="6" priority="2" operator="greaterThan">
      <formula>$B$20</formula>
    </cfRule>
    <cfRule type="cellIs" dxfId="5" priority="3" operator="lessThan">
      <formula>$B$20-0.3</formula>
    </cfRule>
    <cfRule type="cellIs" dxfId="4" priority="4" operator="lessThan">
      <formula>$B$20</formula>
    </cfRule>
  </conditionalFormatting>
  <conditionalFormatting sqref="B26">
    <cfRule type="cellIs" dxfId="3" priority="7" operator="lessThan">
      <formula>$B$34</formula>
    </cfRule>
    <cfRule type="cellIs" dxfId="2" priority="9" operator="greaterThan">
      <formula>$B$34</formula>
    </cfRule>
  </conditionalFormatting>
  <conditionalFormatting sqref="B28">
    <cfRule type="cellIs" dxfId="1" priority="5" operator="greaterThan">
      <formula>0</formula>
    </cfRule>
    <cfRule type="cellIs" dxfId="0" priority="8" operator="lessThan">
      <formula>0</formula>
    </cfRule>
  </conditionalFormatting>
  <hyperlinks>
    <hyperlink ref="B47" r:id="rId1" xr:uid="{4A4C3749-5424-4FA9-855E-2926D53098DE}"/>
    <hyperlink ref="B46" r:id="rId2" xr:uid="{94306097-9184-4D78-AD7E-0BDFA974C62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8A688-A979-4CD3-BB28-7BEF8D41AD08}">
  <dimension ref="A1:G25"/>
  <sheetViews>
    <sheetView topLeftCell="A8" zoomScale="93" zoomScaleNormal="115" workbookViewId="0">
      <selection activeCell="E18" sqref="E18"/>
    </sheetView>
  </sheetViews>
  <sheetFormatPr defaultRowHeight="14.3" x14ac:dyDescent="0.25"/>
  <cols>
    <col min="1" max="1" width="14.375" customWidth="1"/>
    <col min="2" max="2" width="11.25" customWidth="1"/>
    <col min="3" max="3" width="10.875" customWidth="1"/>
    <col min="4" max="5" width="9.375" bestFit="1" customWidth="1"/>
  </cols>
  <sheetData>
    <row r="1" spans="1:4" x14ac:dyDescent="0.25">
      <c r="A1" t="s">
        <v>149</v>
      </c>
      <c r="B1">
        <v>48</v>
      </c>
      <c r="C1" t="s">
        <v>9</v>
      </c>
    </row>
    <row r="2" spans="1:4" x14ac:dyDescent="0.25">
      <c r="A2" t="s">
        <v>162</v>
      </c>
      <c r="B2" s="22">
        <v>13.5</v>
      </c>
      <c r="C2" t="s">
        <v>153</v>
      </c>
      <c r="D2" t="s">
        <v>164</v>
      </c>
    </row>
    <row r="3" spans="1:4" x14ac:dyDescent="0.25">
      <c r="A3" t="s">
        <v>151</v>
      </c>
      <c r="B3">
        <v>0.18</v>
      </c>
      <c r="C3" t="s">
        <v>152</v>
      </c>
    </row>
    <row r="4" spans="1:4" x14ac:dyDescent="0.25">
      <c r="A4" t="s">
        <v>161</v>
      </c>
      <c r="B4">
        <v>-2.5</v>
      </c>
      <c r="C4" t="s">
        <v>9</v>
      </c>
      <c r="D4" t="s">
        <v>164</v>
      </c>
    </row>
    <row r="7" spans="1:4" x14ac:dyDescent="0.25">
      <c r="A7" t="s">
        <v>148</v>
      </c>
      <c r="B7" t="s">
        <v>154</v>
      </c>
      <c r="C7" t="s">
        <v>150</v>
      </c>
      <c r="D7" t="s">
        <v>163</v>
      </c>
    </row>
    <row r="8" spans="1:4" x14ac:dyDescent="0.25">
      <c r="A8">
        <v>10000</v>
      </c>
      <c r="B8" s="22">
        <f>A8*B$2/1000</f>
        <v>135</v>
      </c>
      <c r="C8">
        <f>B$1/(2*A8)</f>
        <v>2.3999999999999998E-3</v>
      </c>
    </row>
    <row r="9" spans="1:4" x14ac:dyDescent="0.25">
      <c r="A9">
        <v>5000</v>
      </c>
      <c r="B9" s="22">
        <f t="shared" ref="B9:B17" si="0">A9*B$2/1000</f>
        <v>67.5</v>
      </c>
      <c r="C9">
        <f t="shared" ref="C9:C17" si="1">B$1/(2*A9)</f>
        <v>4.7999999999999996E-3</v>
      </c>
    </row>
    <row r="10" spans="1:4" x14ac:dyDescent="0.25">
      <c r="A10">
        <v>1000</v>
      </c>
      <c r="B10" s="22">
        <f t="shared" si="0"/>
        <v>13.5</v>
      </c>
      <c r="C10">
        <f t="shared" si="1"/>
        <v>2.4E-2</v>
      </c>
    </row>
    <row r="11" spans="1:4" x14ac:dyDescent="0.25">
      <c r="A11" s="12">
        <v>500</v>
      </c>
      <c r="B11" s="23">
        <f t="shared" si="0"/>
        <v>6.75</v>
      </c>
      <c r="C11" s="12">
        <f t="shared" si="1"/>
        <v>4.8000000000000001E-2</v>
      </c>
      <c r="D11" t="s">
        <v>155</v>
      </c>
    </row>
    <row r="12" spans="1:4" x14ac:dyDescent="0.25">
      <c r="A12">
        <v>200</v>
      </c>
      <c r="B12" s="22">
        <f t="shared" si="0"/>
        <v>2.7</v>
      </c>
      <c r="C12">
        <f t="shared" si="1"/>
        <v>0.12</v>
      </c>
    </row>
    <row r="13" spans="1:4" x14ac:dyDescent="0.25">
      <c r="A13">
        <v>100</v>
      </c>
      <c r="B13" s="22">
        <f t="shared" si="0"/>
        <v>1.35</v>
      </c>
      <c r="C13">
        <f t="shared" si="1"/>
        <v>0.24</v>
      </c>
    </row>
    <row r="14" spans="1:4" x14ac:dyDescent="0.25">
      <c r="A14">
        <v>50</v>
      </c>
      <c r="B14" s="22">
        <f t="shared" si="0"/>
        <v>0.67500000000000004</v>
      </c>
      <c r="C14">
        <f t="shared" si="1"/>
        <v>0.48</v>
      </c>
    </row>
    <row r="15" spans="1:4" x14ac:dyDescent="0.25">
      <c r="A15">
        <v>20</v>
      </c>
      <c r="B15" s="22">
        <f t="shared" si="0"/>
        <v>0.27</v>
      </c>
      <c r="C15">
        <f t="shared" si="1"/>
        <v>1.2</v>
      </c>
    </row>
    <row r="16" spans="1:4" x14ac:dyDescent="0.25">
      <c r="A16">
        <v>10</v>
      </c>
      <c r="B16" s="22">
        <f t="shared" si="0"/>
        <v>0.13500000000000001</v>
      </c>
      <c r="C16">
        <f t="shared" si="1"/>
        <v>2.4</v>
      </c>
    </row>
    <row r="17" spans="1:7" x14ac:dyDescent="0.25">
      <c r="A17">
        <v>5</v>
      </c>
      <c r="B17" s="22">
        <f t="shared" si="0"/>
        <v>6.7500000000000004E-2</v>
      </c>
      <c r="C17">
        <f t="shared" si="1"/>
        <v>4.8</v>
      </c>
    </row>
    <row r="19" spans="1:7" x14ac:dyDescent="0.25">
      <c r="A19" t="s">
        <v>156</v>
      </c>
    </row>
    <row r="20" spans="1:7" x14ac:dyDescent="0.25">
      <c r="A20" t="s">
        <v>157</v>
      </c>
      <c r="B20" t="s">
        <v>158</v>
      </c>
      <c r="C20" t="s">
        <v>159</v>
      </c>
      <c r="D20" t="s">
        <v>160</v>
      </c>
      <c r="E20" t="s">
        <v>154</v>
      </c>
      <c r="F20" t="s">
        <v>150</v>
      </c>
    </row>
    <row r="21" spans="1:7" x14ac:dyDescent="0.25">
      <c r="A21">
        <v>470</v>
      </c>
      <c r="B21">
        <v>1000</v>
      </c>
      <c r="C21">
        <f>B21/(B21+A21)</f>
        <v>0.68027210884353739</v>
      </c>
      <c r="D21">
        <f>B$1*(C21-1)</f>
        <v>-15.346938775510205</v>
      </c>
      <c r="E21" s="24">
        <f>A21*B$2/1000</f>
        <v>6.3449999999999998</v>
      </c>
      <c r="F21" s="24">
        <f>B$1/(A21+B21)</f>
        <v>3.2653061224489799E-2</v>
      </c>
    </row>
    <row r="22" spans="1:7" x14ac:dyDescent="0.25">
      <c r="A22" s="12">
        <v>330</v>
      </c>
      <c r="B22" s="12">
        <v>1000</v>
      </c>
      <c r="C22" s="12">
        <f t="shared" ref="C22:C25" si="2">B22/(B22+A22)</f>
        <v>0.75187969924812026</v>
      </c>
      <c r="D22" s="12">
        <f t="shared" ref="D22:D25" si="3">B$1*(C22-1)</f>
        <v>-11.909774436090228</v>
      </c>
      <c r="E22" s="25">
        <f>A22*B$2/1000</f>
        <v>4.4550000000000001</v>
      </c>
      <c r="F22" s="25">
        <f>B$1/(A22+B22)</f>
        <v>3.6090225563909777E-2</v>
      </c>
      <c r="G22" t="s">
        <v>165</v>
      </c>
    </row>
    <row r="23" spans="1:7" x14ac:dyDescent="0.25">
      <c r="A23">
        <v>220</v>
      </c>
      <c r="B23">
        <v>1000</v>
      </c>
      <c r="C23">
        <f t="shared" si="2"/>
        <v>0.81967213114754101</v>
      </c>
      <c r="D23">
        <f t="shared" si="3"/>
        <v>-8.6557377049180317</v>
      </c>
      <c r="E23" s="24">
        <f>A23*B$2/1000</f>
        <v>2.97</v>
      </c>
      <c r="F23" s="24">
        <f>B$1/(A23+B23)</f>
        <v>3.9344262295081971E-2</v>
      </c>
    </row>
    <row r="24" spans="1:7" x14ac:dyDescent="0.25">
      <c r="A24">
        <v>100</v>
      </c>
      <c r="B24">
        <v>1000</v>
      </c>
      <c r="C24">
        <f t="shared" si="2"/>
        <v>0.90909090909090906</v>
      </c>
      <c r="D24">
        <f t="shared" si="3"/>
        <v>-4.3636363636363651</v>
      </c>
      <c r="E24" s="24">
        <f>A24*B$2/1000</f>
        <v>1.35</v>
      </c>
      <c r="F24" s="24">
        <f>B$1/(A24+B24)</f>
        <v>4.363636363636364E-2</v>
      </c>
    </row>
    <row r="25" spans="1:7" x14ac:dyDescent="0.25">
      <c r="A25">
        <v>47</v>
      </c>
      <c r="B25">
        <v>1000</v>
      </c>
      <c r="C25">
        <f t="shared" si="2"/>
        <v>0.95510983763132762</v>
      </c>
      <c r="D25" s="3">
        <f t="shared" si="3"/>
        <v>-2.1547277936962743</v>
      </c>
      <c r="E25" s="24">
        <f>A25*B$2/1000</f>
        <v>0.63449999999999995</v>
      </c>
      <c r="F25" s="24">
        <f>B$1/(A25+B25)</f>
        <v>4.5845272206303724E-2</v>
      </c>
    </row>
  </sheetData>
  <pageMargins left="0.7" right="0.7" top="0.75" bottom="0.75" header="0.3" footer="0.3"/>
  <pageSetup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ADCD1-187C-45AA-BEDF-C86DEA23787A}">
  <dimension ref="A1:H20"/>
  <sheetViews>
    <sheetView workbookViewId="0">
      <selection activeCell="G8" sqref="G8"/>
    </sheetView>
  </sheetViews>
  <sheetFormatPr defaultRowHeight="14.3" x14ac:dyDescent="0.25"/>
  <cols>
    <col min="1" max="1" width="11.875" customWidth="1"/>
    <col min="2" max="2" width="15.25" customWidth="1"/>
    <col min="3" max="3" width="7.5" customWidth="1"/>
    <col min="4" max="4" width="6.25" customWidth="1"/>
    <col min="5" max="5" width="13" customWidth="1"/>
    <col min="6" max="6" width="13.875" customWidth="1"/>
    <col min="7" max="7" width="13.125" customWidth="1"/>
    <col min="8" max="8" width="28" customWidth="1"/>
  </cols>
  <sheetData>
    <row r="1" spans="1:8" x14ac:dyDescent="0.25">
      <c r="A1" t="s">
        <v>17</v>
      </c>
      <c r="B1" t="s">
        <v>19</v>
      </c>
      <c r="C1" t="s">
        <v>43</v>
      </c>
      <c r="D1" t="s">
        <v>22</v>
      </c>
      <c r="E1" t="s">
        <v>23</v>
      </c>
      <c r="F1" t="s">
        <v>28</v>
      </c>
      <c r="G1" t="s">
        <v>24</v>
      </c>
      <c r="H1" t="s">
        <v>1</v>
      </c>
    </row>
    <row r="2" spans="1:8" x14ac:dyDescent="0.25">
      <c r="A2" s="3" t="s">
        <v>18</v>
      </c>
      <c r="B2" t="s">
        <v>20</v>
      </c>
      <c r="D2" s="2" t="s">
        <v>21</v>
      </c>
      <c r="E2">
        <v>17.3</v>
      </c>
      <c r="F2">
        <v>24</v>
      </c>
      <c r="G2">
        <v>358</v>
      </c>
      <c r="H2" t="s">
        <v>29</v>
      </c>
    </row>
    <row r="3" spans="1:8" x14ac:dyDescent="0.25">
      <c r="A3" t="s">
        <v>25</v>
      </c>
      <c r="B3" t="s">
        <v>26</v>
      </c>
      <c r="D3" s="2" t="s">
        <v>27</v>
      </c>
      <c r="E3">
        <v>38</v>
      </c>
      <c r="F3">
        <v>48</v>
      </c>
      <c r="G3">
        <v>1790</v>
      </c>
    </row>
    <row r="4" spans="1:8" x14ac:dyDescent="0.25">
      <c r="A4" t="s">
        <v>18</v>
      </c>
      <c r="B4" t="s">
        <v>30</v>
      </c>
      <c r="D4" s="2" t="s">
        <v>31</v>
      </c>
    </row>
    <row r="5" spans="1:8" x14ac:dyDescent="0.25">
      <c r="A5" t="s">
        <v>18</v>
      </c>
      <c r="B5" t="s">
        <v>33</v>
      </c>
      <c r="D5" s="2" t="s">
        <v>32</v>
      </c>
      <c r="F5">
        <v>48</v>
      </c>
      <c r="G5">
        <v>250</v>
      </c>
      <c r="H5" t="s">
        <v>34</v>
      </c>
    </row>
    <row r="6" spans="1:8" x14ac:dyDescent="0.25">
      <c r="A6" t="s">
        <v>18</v>
      </c>
      <c r="B6" t="s">
        <v>35</v>
      </c>
      <c r="C6" s="5">
        <v>70</v>
      </c>
      <c r="D6" s="2" t="s">
        <v>36</v>
      </c>
      <c r="E6">
        <v>53</v>
      </c>
      <c r="F6">
        <v>48</v>
      </c>
      <c r="G6">
        <v>2469</v>
      </c>
      <c r="H6" t="s">
        <v>37</v>
      </c>
    </row>
    <row r="7" spans="1:8" x14ac:dyDescent="0.25">
      <c r="A7" t="s">
        <v>18</v>
      </c>
      <c r="B7" t="s">
        <v>38</v>
      </c>
      <c r="C7" s="4"/>
      <c r="D7" s="2" t="s">
        <v>39</v>
      </c>
      <c r="E7">
        <v>58</v>
      </c>
      <c r="F7">
        <v>48</v>
      </c>
      <c r="G7">
        <v>2685</v>
      </c>
      <c r="H7" t="s">
        <v>146</v>
      </c>
    </row>
    <row r="8" spans="1:8" x14ac:dyDescent="0.25">
      <c r="A8" t="s">
        <v>18</v>
      </c>
      <c r="B8" t="s">
        <v>41</v>
      </c>
      <c r="C8" s="5">
        <v>90</v>
      </c>
      <c r="D8" s="2" t="s">
        <v>40</v>
      </c>
      <c r="E8">
        <v>55.2</v>
      </c>
      <c r="F8">
        <v>24</v>
      </c>
      <c r="G8">
        <v>1270</v>
      </c>
      <c r="H8" t="s">
        <v>42</v>
      </c>
    </row>
    <row r="9" spans="1:8" x14ac:dyDescent="0.25">
      <c r="A9" t="s">
        <v>18</v>
      </c>
      <c r="B9" t="s">
        <v>45</v>
      </c>
      <c r="C9" s="5">
        <v>130</v>
      </c>
      <c r="D9" s="2" t="s">
        <v>44</v>
      </c>
      <c r="E9">
        <v>34.299999999999997</v>
      </c>
      <c r="F9">
        <v>48</v>
      </c>
      <c r="G9">
        <v>1572</v>
      </c>
      <c r="H9" t="s">
        <v>46</v>
      </c>
    </row>
    <row r="16" spans="1:8" x14ac:dyDescent="0.25">
      <c r="B16" t="s">
        <v>47</v>
      </c>
    </row>
    <row r="17" spans="2:2" x14ac:dyDescent="0.25">
      <c r="B17" t="s">
        <v>48</v>
      </c>
    </row>
    <row r="18" spans="2:2" x14ac:dyDescent="0.25">
      <c r="B18" t="s">
        <v>49</v>
      </c>
    </row>
    <row r="19" spans="2:2" x14ac:dyDescent="0.25">
      <c r="B19" t="s">
        <v>50</v>
      </c>
    </row>
    <row r="20" spans="2:2" x14ac:dyDescent="0.25">
      <c r="B20" t="s">
        <v>51</v>
      </c>
    </row>
  </sheetData>
  <hyperlinks>
    <hyperlink ref="D2" r:id="rId1" xr:uid="{9E49A564-A096-4F7D-A04D-07A1C45937F1}"/>
    <hyperlink ref="D3" r:id="rId2" xr:uid="{80797163-A434-4985-94E9-F9369CAFE99E}"/>
    <hyperlink ref="D4" r:id="rId3" xr:uid="{4DFF51A4-B899-48A5-A95B-8F84BE1591E1}"/>
    <hyperlink ref="D5" r:id="rId4" xr:uid="{AC8084C6-2C43-4317-B423-A1AD5DB9A4CA}"/>
    <hyperlink ref="D7" r:id="rId5" xr:uid="{468DF094-21A6-4228-B03E-49877CD5ABAA}"/>
    <hyperlink ref="D8" r:id="rId6" xr:uid="{25E8BD95-5AD5-48EA-9623-6F3AA68B475B}"/>
    <hyperlink ref="D9" r:id="rId7" xr:uid="{51D2998C-3482-4875-96E1-DDF56DD1B5DE}"/>
    <hyperlink ref="D6" r:id="rId8" xr:uid="{DCD88015-67FC-4D92-A38B-1BCDACAB14C1}"/>
  </hyperlinks>
  <pageMargins left="0.7" right="0.7" top="0.75" bottom="0.75" header="0.3" footer="0.3"/>
  <pageSetup orientation="portrait" horizontalDpi="300" verticalDpi="300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BOM</vt:lpstr>
      <vt:lpstr>Parts Order</vt:lpstr>
      <vt:lpstr>Current Sensing</vt:lpstr>
      <vt:lpstr>OCP PMOS Vgs</vt:lpstr>
      <vt:lpstr>Motor Selection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Charlie Seifert</dc:creator>
  <cp:lastModifiedBy>Charlie Seifert</cp:lastModifiedBy>
  <dcterms:created xsi:type="dcterms:W3CDTF">2026-04-11T05:49:18Z</dcterms:created>
  <dcterms:modified xsi:type="dcterms:W3CDTF">2026-06-08T17:38:36Z</dcterms:modified>
</cp:coreProperties>
</file>